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08ddd185cc49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map" sheetId="1" r:id="R8b10f57c72b5490f"/>
    <x:sheet xmlns:r="http://schemas.openxmlformats.org/officeDocument/2006/relationships" name="Ticket Backlog" sheetId="2" r:id="Re7bd826e685341fb"/>
    <x:sheet xmlns:r="http://schemas.openxmlformats.org/officeDocument/2006/relationships" name="Risks &amp; Decisions" sheetId="3" r:id="R8b2e22334bf54456"/>
    <x:sheet xmlns:r="http://schemas.openxmlformats.org/officeDocument/2006/relationships" name="Launch Checklist" sheetId="4" r:id="Rfbc3e738ee224047"/>
    <x:sheet xmlns:r="http://schemas.openxmlformats.org/officeDocument/2006/relationships" name="Read Me" sheetId="5" r:id="Rfe54570928fe4b17"/>
    <x:sheet xmlns:r="http://schemas.openxmlformats.org/officeDocument/2006/relationships" name="Dashboard" sheetId="6" r:id="R9105e925e6e24a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 h:mm:ss"/>
    <x:numFmt numFmtId="165" formatCode="dd-mmm-yyyy"/>
  </x:numFmts>
  <x:fonts count="9">
    <x:font>
      <x:sz val="11"/>
      <x:color theme="1"/>
      <x:name val="Calibri"/>
    </x:font>
    <x:font>
      <x:b/>
      <x:sz val="16"/>
      <x:color rgb="FFFFFFFF"/>
    </x:font>
    <x:font>
      <x:b/>
      <x:color rgb="FFFFFFFF"/>
    </x:font>
    <x:font>
      <x:b/>
      <x:color rgb="FF9F1239"/>
    </x:font>
    <x:font>
      <x:b/>
      <x:color rgb="FF12304A"/>
    </x:font>
    <x:font>
      <x:b/>
      <x:sz val="16"/>
      <x:color rgb="FFFFFFFF"/>
      <x:name val="Calibri"/>
    </x:font>
    <x:font>
      <x:b/>
      <x:sz val="11"/>
      <x:color rgb="FFFFFFFF"/>
      <x:name val="Calibri"/>
    </x:font>
    <x:font>
      <x:b/>
      <x:sz val="11"/>
      <x:color rgb="FF12304A"/>
      <x:name val="Calibri"/>
    </x:font>
    <x:font>
      <x:b/>
      <x:sz val="13"/>
      <x:color rgb="FF12304A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0F766E"/>
      </x:patternFill>
    </x:fill>
    <x:fill>
      <x:patternFill patternType="solid">
        <x:fgColor rgb="FFEAF4F4"/>
      </x:patternFill>
    </x:fill>
    <x:fill>
      <x:patternFill patternType="solid">
        <x:fgColor rgb="FFFDECEC"/>
      </x:patternFill>
    </x:fill>
    <x:fill>
      <x:patternFill patternType="solid">
        <x:fgColor rgb="FFF1F5F9"/>
      </x:patternFill>
    </x:fill>
    <x:fill>
      <x:patternFill patternType="solid">
        <x:fgColor rgb="FF12304A"/>
      </x:patternFill>
    </x:fill>
    <x:fill>
      <x:patternFill patternType="solid">
        <x:fgColor rgb="FF0F766E"/>
      </x:patternFill>
    </x:fill>
    <x:fill>
      <x:patternFill patternType="solid">
        <x:fgColor rgb="FFEAF4F4"/>
      </x:patternFill>
    </x:fill>
  </x:fills>
  <x:borders count="3">
    <x:border/>
    <x:border>
      <x:bottom style="hair">
        <x:color rgb="FFCBD5E1"/>
      </x:bottom>
    </x:border>
    <x:border/>
  </x:borders>
  <x:cellStyleXfs count="1">
    <x:xf numFmtId="0" fontId="0" fillId="0" borderId="0"/>
  </x:cellStyleXfs>
  <x:cellXfs count="58">
    <x:xf numFmtId="0" fontId="0" fillId="0" borderId="0" xfId="0"/>
    <x:xf numFmtId="0" fontId="1" fillId="2" borderId="0" xfId="0" applyAlignment="1">
      <x:alignment vertical="center"/>
    </x:xf>
    <x:xf numFmtId="0" fontId="2" fillId="3" borderId="0" xfId="0" applyAlignment="1">
      <x:alignment vertical="center" wrapText="1"/>
    </x:xf>
    <x:xf numFmtId="0" fontId="0" fillId="0" borderId="1" xfId="0" applyAlignment="1">
      <x:alignment vertical="top" wrapText="1"/>
    </x:xf>
    <x:xf numFmtId="165" fontId="0" fillId="0" borderId="1" xfId="0" applyAlignment="1">
      <x:alignment vertical="top" wrapText="1"/>
    </x:xf>
    <x:xf numFmtId="0" fontId="0" fillId="4" borderId="1" xfId="0" applyAlignment="1">
      <x:alignment vertical="top" wrapText="1"/>
    </x:xf>
    <x:xf numFmtId="165" fontId="0" fillId="4" borderId="1" xfId="0" applyAlignment="1">
      <x:alignment vertical="top" wrapText="1"/>
    </x:xf>
    <x:xf numFmtId="0" fontId="3" fillId="5" borderId="1" xfId="0" applyAlignment="1">
      <x:alignment vertical="top" wrapText="1"/>
    </x:xf>
    <x:xf numFmtId="0" fontId="0" fillId="6" borderId="1" xfId="0" applyAlignment="1">
      <x:alignment vertical="top" wrapText="1"/>
    </x:xf>
    <x:xf numFmtId="0" fontId="3" fillId="6" borderId="1" xfId="0" applyAlignment="1">
      <x:alignment vertical="top" wrapText="1"/>
    </x:xf>
    <x:xf numFmtId="0" fontId="1" fillId="2" borderId="0" xfId="0"/>
    <x:xf numFmtId="0" fontId="2" fillId="3" borderId="0" xfId="0" applyAlignment="1">
      <x:alignment wrapText="1"/>
    </x:xf>
    <x:xf numFmtId="0" fontId="4" fillId="0" borderId="1" xfId="0" applyAlignment="1">
      <x:alignment vertical="top" wrapText="1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165" fontId="0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165" fontId="0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vertical="center"/>
    </x:xf>
    <x:xf numFmtId="0" fontId="0" fillId="7" borderId="2" xfId="0" applyNumberFormat="1" applyFont="1" applyFill="1" applyBorder="1"/>
    <x:xf numFmtId="0" fontId="5" fillId="7" borderId="2" xfId="0" applyNumberFormat="1" applyFont="1" applyFill="1" applyBorder="1"/>
    <x:xf numFmtId="0" fontId="5" fillId="7" borderId="2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vertical="center"/>
    </x:xf>
    <x:xf numFmtId="0" fontId="0" fillId="8" borderId="2" xfId="0" applyNumberFormat="1" applyFont="1" applyFill="1" applyBorder="1"/>
    <x:xf numFmtId="0" fontId="6" fillId="8" borderId="2" xfId="0" applyNumberFormat="1" applyFont="1" applyFill="1" applyBorder="1"/>
    <x:xf numFmtId="0" fontId="6" fillId="8" borderId="2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center"/>
    </x:xf>
    <x:xf numFmtId="0" fontId="0" fillId="9" borderId="2" xfId="0" applyNumberFormat="1" applyFont="1" applyFill="1" applyBorder="1"/>
    <x:xf numFmtId="0" fontId="8" fillId="9" borderId="2" xfId="0" applyNumberFormat="1" applyFont="1" applyFill="1" applyBorder="1"/>
    <x:xf numFmtId="0" fontId="8" fillId="9" borderId="2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horizontal="center" wrapText="1"/>
    </x:xf>
    <x:xf numFmtId="0" fontId="6" fillId="8" borderId="2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wrapText="1"/>
    </x:xf>
    <x:xf numFmtId="0" fontId="8" fillId="9" borderId="2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wrapText="1"/>
    </x:xf>
    <x:xf numFmtId="0" fontId="6" fillId="8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>
          <x:bgColor rgb="00FECACA"/>
        </x:patternFill>
      </x:fill>
    </x:dxf>
    <x:dxf>
      <x:fill>
        <x:patternFill>
          <x:bgColor rgb="00DCFC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7b68cb54f341f2" /><Relationship Type="http://schemas.openxmlformats.org/officeDocument/2006/relationships/theme" Target="/xl/theme/theme1.xml" Id="R0e7bf7610a7f4c86" /><Relationship Type="http://schemas.openxmlformats.org/officeDocument/2006/relationships/sharedStrings" Target="/xl/sharedStrings.xml" Id="Rafa452011fee4d13" /><Relationship Type="http://schemas.openxmlformats.org/officeDocument/2006/relationships/worksheet" Target="/xl/worksheets/sheet1.xml" Id="R8b10f57c72b5490f" /><Relationship Type="http://schemas.openxmlformats.org/officeDocument/2006/relationships/worksheet" Target="/xl/worksheets/sheet2.xml" Id="Re7bd826e685341fb" /><Relationship Type="http://schemas.openxmlformats.org/officeDocument/2006/relationships/worksheet" Target="/xl/worksheets/sheet3.xml" Id="R8b2e22334bf54456" /><Relationship Type="http://schemas.openxmlformats.org/officeDocument/2006/relationships/worksheet" Target="/xl/worksheets/sheet4.xml" Id="Rfbc3e738ee224047" /><Relationship Type="http://schemas.openxmlformats.org/officeDocument/2006/relationships/worksheet" Target="/xl/worksheets/sheet5.xml" Id="Rfe54570928fe4b17" /><Relationship Type="http://schemas.openxmlformats.org/officeDocument/2006/relationships/worksheet" Target="/xl/worksheets/sheet6.xml" Id="R9105e925e6e24a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f6270f38447415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Story points</c:v>
          </c:tx>
          <c:cat>
            <c:strRef>
              <c:f>'Dashboard'!$A$11:$A$22</c:f>
              <c:strCache>
                <c:ptCount val="0"/>
              </c:strCache>
            </c:strRef>
          </c:cat>
          <c:val>
            <c:numRef>
              <c:f>'Dashboard'!$D$11:$D$22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6270f38447415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9cced0f591d5426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0" customWidth="1"/>
    <x:col min="2" max="2" width="28" customWidth="1"/>
    <x:col min="3" max="3" width="14" customWidth="1"/>
    <x:col min="4" max="4" width="14" customWidth="1"/>
    <x:col min="5" max="5" width="52" customWidth="1"/>
    <x:col min="6" max="6" width="60" customWidth="1"/>
    <x:col min="7" max="7" width="60" customWidth="1"/>
    <x:col min="8" max="8" width="22" customWidth="1"/>
    <x:col min="9" max="9" width="48" customWidth="1"/>
  </x:cols>
  <x:sheetData>
    <x:row r="1" ht="30" customHeight="1">
      <x:c r="A1" s="1" t="inlineStr">
        <x:is>
          <x:t xml:space="preserve">ECOMMERCE WEBSITE — SPRINT ROADMAP</x:t>
        </x:is>
      </x:c>
    </x:row>
    <x:row r="2">
      <x:c r="A2" t="inlineStr">
        <x:is>
          <x:t xml:space="preserve">Deadline</x:t>
        </x:is>
      </x:c>
      <x:c r="B2" t="inlineStr">
        <x:is>
          <x:t xml:space="preserve">31-Mar-2027</x:t>
        </x:is>
      </x:c>
      <x:c r="C2" t="inlineStr">
        <x:is>
          <x:t xml:space="preserve">Cadence</x:t>
        </x:is>
      </x:c>
      <x:c r="D2" t="inlineStr">
        <x:is>
          <x:t xml:space="preserve">2-week sprints</x:t>
        </x:is>
      </x:c>
      <x:c r="E2" t="inlineStr">
        <x:is>
          <x:t xml:space="preserve">Release model</x:t>
        </x:is>
      </x:c>
      <x:c r="F2" t="inlineStr">
        <x:is>
          <x:t xml:space="preserve">Single-store launch</x:t>
        </x:is>
      </x:c>
      <x:c r="G2" t="inlineStr">
        <x:is>
          <x:t xml:space="preserve">Capacity warning</x:t>
        </x:is>
      </x:c>
      <x:c r="H2" t="inlineStr">
        <x:is>
          <x:t xml:space="preserve">Team capacity must be confirmed in S1</x:t>
        </x:is>
      </x:c>
      <x:c r="I2" t="inlineStr">
        <x:is>
          <x:t xml:space="preserve"/>
        </x:is>
      </x:c>
    </x:row>
    <x:row r="3">
      <x:c r="A3" s="2" t="inlineStr">
        <x:is>
          <x:t xml:space="preserve">Sprint</x:t>
        </x:is>
      </x:c>
      <x:c r="B3" s="2" t="inlineStr">
        <x:is>
          <x:t xml:space="preserve">Sprint name</x:t>
        </x:is>
      </x:c>
      <x:c r="C3" s="2" t="inlineStr">
        <x:is>
          <x:t xml:space="preserve">Start</x:t>
        </x:is>
      </x:c>
      <x:c r="D3" s="2" t="inlineStr">
        <x:is>
          <x:t xml:space="preserve">End</x:t>
        </x:is>
      </x:c>
      <x:c r="E3" s="2" t="inlineStr">
        <x:is>
          <x:t xml:space="preserve">Goal</x:t>
        </x:is>
      </x:c>
      <x:c r="F3" s="2" t="inlineStr">
        <x:is>
          <x:t xml:space="preserve">Rollout / main features</x:t>
        </x:is>
      </x:c>
      <x:c r="G3" s="2" t="inlineStr">
        <x:is>
          <x:t xml:space="preserve">Exit criteria</x:t>
        </x:is>
      </x:c>
      <x:c r="H3" s="2" t="inlineStr">
        <x:is>
          <x:t xml:space="preserve">Capacity note</x:t>
        </x:is>
      </x:c>
      <x:c r="I3" s="2" t="inlineStr">
        <x:is>
          <x:t xml:space="preserve">Dependencies</x:t>
        </x:is>
      </x:c>
    </x:row>
    <x:row r="4" ht="90" customHeight="1">
      <x:c r="A4" s="3" t="inlineStr">
        <x:is>
          <x:t xml:space="preserve">S1</x:t>
        </x:is>
      </x:c>
      <x:c r="B4" s="3" t="inlineStr">
        <x:is>
          <x:t xml:space="preserve">Discovery &amp; Foundations</x:t>
        </x:is>
      </x:c>
      <x:c r="C4" s="4" t="n">
        <x:v>46321</x:v>
      </x:c>
      <x:c r="D4" s="4" t="n">
        <x:v>46332</x:v>
      </x:c>
      <x:c r="E4" s="3" t="inlineStr">
        <x:is>
          <x:t xml:space="preserve">Turn the product brief into an agreed delivery baseline; establish architecture, engineering standards, environments, and core UX direction.</x:t>
        </x:is>
      </x:c>
      <x:c r="F4" s="3" t="inlineStr">
        <x:is>
          <x:t xml:space="preserve">Requirements baseline; architecture and service boundaries; repo/branch strategy; CI checks; dev environment; data model draft; design tokens and wireframes; threat model; definition of ready/done.</x:t>
        </x:is>
      </x:c>
      <x:c r="G4" s="3" t="inlineStr">
        <x:is>
          <x:t xml:space="preserve">PRD and backlog reviewed; core ADRs approved; code builds in CI; dev environment reproducible; initial wireframes reviewed; priority decisions have owners and due dates.</x:t>
        </x:is>
      </x:c>
      <x:c r="H4" s="3" t="inlineStr">
        <x:is>
          <x:t xml:space="preserve">Normal</x:t>
        </x:is>
      </x:c>
      <x:c r="I4" s="3" t="inlineStr">
        <x:is>
          <x:t xml:space="preserve">Kickoff; named product owner; engineer/QA/design availability.</x:t>
        </x:is>
      </x:c>
    </x:row>
    <x:row r="5" ht="90" customHeight="1">
      <x:c r="A5" s="3" t="inlineStr">
        <x:is>
          <x:t xml:space="preserve">S2</x:t>
        </x:is>
      </x:c>
      <x:c r="B5" s="3" t="inlineStr">
        <x:is>
          <x:t xml:space="preserve">Platform Shell &amp; Identity</x:t>
        </x:is>
      </x:c>
      <x:c r="C5" s="4" t="n">
        <x:v>46335</x:v>
      </x:c>
      <x:c r="D5" s="4" t="n">
        <x:v>46346</x:v>
      </x:c>
      <x:c r="E5" s="3" t="inlineStr">
        <x:is>
          <x:t xml:space="preserve">Create the working application shell, shared UI/API foundations, and secure customer identity flows.</x:t>
        </x:is>
      </x:c>
      <x:c r="F5" s="3" t="inlineStr">
        <x:is>
          <x:t xml:space="preserve">Next.js app shell; responsive design system; Express service skeletons; auth/register/login/logout/refresh; profile/address foundation; RBAC; Zod validation; standard API/error response; basic audit events.</x:t>
        </x:is>
      </x:c>
      <x:c r="G5" s="3" t="inlineStr">
        <x:is>
          <x:t xml:space="preserve">Identity APIs tested; auth/session design reviewed; protected routes and role checks work; shared form controls meet initial accessibility checks; CI test gates run.</x:t>
        </x:is>
      </x:c>
      <x:c r="H5" s="3" t="inlineStr">
        <x:is>
          <x:t xml:space="preserve">Normal</x:t>
        </x:is>
      </x:c>
      <x:c r="I5" s="3" t="inlineStr">
        <x:is>
          <x:t xml:space="preserve">S1 architecture and UX foundation.</x:t>
        </x:is>
      </x:c>
    </x:row>
    <x:row r="6" ht="90" customHeight="1">
      <x:c r="A6" s="3" t="inlineStr">
        <x:is>
          <x:t xml:space="preserve">S3</x:t>
        </x:is>
      </x:c>
      <x:c r="B6" s="3" t="inlineStr">
        <x:is>
          <x:t xml:space="preserve">Catalog &amp; Discovery</x:t>
        </x:is>
      </x:c>
      <x:c r="C6" s="4" t="n">
        <x:v>46349</x:v>
      </x:c>
      <x:c r="D6" s="4" t="n">
        <x:v>46360</x:v>
      </x:c>
      <x:c r="E6" s="3" t="inlineStr">
        <x:is>
          <x:t xml:space="preserve">Make customers able to browse and discover active products through category pages, search, sorting, and filters.</x:t>
        </x:is>
      </x:c>
      <x:c r="F6" s="3" t="inlineStr">
        <x:is>
          <x:t xml:space="preserve">Category hierarchy; product model and variants; listing pages; pagination; keyword search; sort/filter; availability and price display; catalog API; admin product CRUD v1; seed/import tooling.</x:t>
        </x:is>
      </x:c>
      <x:c r="G6" s="3" t="inlineStr">
        <x:is>
          <x:t xml:space="preserve">Catalog endpoints and UI have integration tests; filters/sort/pagination produce consistent results; unpublished products stay hidden from customers; seed data supports end-to-end test.</x:t>
        </x:is>
      </x:c>
      <x:c r="H6" s="3" t="inlineStr">
        <x:is>
          <x:t xml:space="preserve">Normal</x:t>
        </x:is>
      </x:c>
      <x:c r="I6" s="3" t="inlineStr">
        <x:is>
          <x:t xml:space="preserve">S2 API, auth, shared components.</x:t>
        </x:is>
      </x:c>
    </x:row>
    <x:row r="7" ht="90" customHeight="1">
      <x:c r="A7" s="3" t="inlineStr">
        <x:is>
          <x:t xml:space="preserve">S4</x:t>
        </x:is>
      </x:c>
      <x:c r="B7" s="3" t="inlineStr">
        <x:is>
          <x:t xml:space="preserve">Product Detail &amp; Inventory</x:t>
        </x:is>
      </x:c>
      <x:c r="C7" s="4" t="n">
        <x:v>46363</x:v>
      </x:c>
      <x:c r="D7" s="4" t="n">
        <x:v>46374</x:v>
      </x:c>
      <x:c r="E7" s="3" t="inlineStr">
        <x:is>
          <x:t xml:space="preserve">Complete the product evaluation experience and establish stock and media handling.</x:t>
        </x:is>
      </x:c>
      <x:c r="F7" s="3" t="inlineStr">
        <x:is>
          <x:t xml:space="preserve">Product detail page; image gallery; variants/SKUs; stock availability; SKU and inventory admin; S3 image upload; CDN delivery; SEO metadata; related products v1; product schema validation.</x:t>
        </x:is>
      </x:c>
      <x:c r="G7" s="3" t="inlineStr">
        <x:is>
          <x:t xml:space="preserve">Variant selection updates price/availability; out-of-stock cannot be purchased; image upload validates size/type; product pages render metadata and canonical URLs.</x:t>
        </x:is>
      </x:c>
      <x:c r="H7" s="3" t="inlineStr">
        <x:is>
          <x:t xml:space="preserve">Normal</x:t>
        </x:is>
      </x:c>
      <x:c r="I7" s="3" t="inlineStr">
        <x:is>
          <x:t xml:space="preserve">S3 catalog/product model; AWS storage baseline.</x:t>
        </x:is>
      </x:c>
    </x:row>
    <x:row r="8" ht="90" customHeight="1">
      <x:c r="A8" s="3" t="inlineStr">
        <x:is>
          <x:t xml:space="preserve">S5</x:t>
        </x:is>
      </x:c>
      <x:c r="B8" s="3" t="inlineStr">
        <x:is>
          <x:t xml:space="preserve">Cart, Wishlist &amp; Offers</x:t>
        </x:is>
      </x:c>
      <x:c r="C8" s="4" t="n">
        <x:v>46377</x:v>
      </x:c>
      <x:c r="D8" s="4" t="n">
        <x:v>46388</x:v>
      </x:c>
      <x:c r="E8" s="3" t="inlineStr">
        <x:is>
          <x:t xml:space="preserve">Build the saved shopping state and initial promotion rules while planning reduced holiday capacity.</x:t>
        </x:is>
      </x:c>
      <x:c r="F8" s="3" t="inlineStr">
        <x:is>
          <x:t xml:space="preserve">Guest and authenticated cart; merge cart on login; quantity edits; remove/save for later; wishlist; subtotal/discount estimate; coupon creation and validation; pricing calculation service; cart persistence.</x:t>
        </x:is>
      </x:c>
      <x:c r="G8" s="3" t="inlineStr">
        <x:is>
          <x:t xml:space="preserve">Cart survives refresh/login; quantity and stock constraints enforced server-side; coupon eligibility/limits validated on backend; price totals are calculated server-side; holiday capacity adjusted.</x:t>
        </x:is>
      </x:c>
      <x:c r="H8" s="3" t="inlineStr">
        <x:is>
          <x:t xml:space="preserve">Reduced (holiday period)</x:t>
        </x:is>
      </x:c>
      <x:c r="I8" s="3" t="inlineStr">
        <x:is>
          <x:t xml:space="preserve">S3/S4 product and inventory APIs; S2 identity.</x:t>
        </x:is>
      </x:c>
    </x:row>
    <x:row r="9" ht="90" customHeight="1">
      <x:c r="A9" s="3" t="inlineStr">
        <x:is>
          <x:t xml:space="preserve">S6</x:t>
        </x:is>
      </x:c>
      <x:c r="B9" s="3" t="inlineStr">
        <x:is>
          <x:t xml:space="preserve">Checkout &amp; Payment Integration</x:t>
        </x:is>
      </x:c>
      <x:c r="C9" s="4" t="n">
        <x:v>46391</x:v>
      </x:c>
      <x:c r="D9" s="4" t="n">
        <x:v>46402</x:v>
      </x:c>
      <x:c r="E9" s="3" t="inlineStr">
        <x:is>
          <x:t xml:space="preserve">Create a secure checkout pipeline for addresses, delivery options, final pricing, and payment initiation.</x:t>
        </x:is>
      </x:c>
      <x:c r="F9" s="3" t="inlineStr">
        <x:is>
          <x:t xml:space="preserve">Address book and checkout address; shipping options/rules; tax calculation integration or approved rules; order review; inventory reservation; payment provider sandbox; idempotent checkout initiation; failure/retry states; consent and policy links.</x:t>
        </x:is>
      </x:c>
      <x:c r="G9" s="3" t="inlineStr">
        <x:is>
          <x:t xml:space="preserve">A valid cart can reach payment sandbox; no payment card data stored by platform; totals revalidated server-side; duplicate clicks do not create duplicate orders/payments; decline/cancel paths tested.</x:t>
        </x:is>
      </x:c>
      <x:c r="H9" s="3" t="inlineStr">
        <x:is>
          <x:t xml:space="preserve">Normal</x:t>
        </x:is>
      </x:c>
      <x:c r="I9" s="3" t="inlineStr">
        <x:is>
          <x:t xml:space="preserve">S5 pricing/cart; S1 decisions on market, tax, currency, payment/shipping providers.</x:t>
        </x:is>
      </x:c>
    </x:row>
    <x:row r="10" ht="90" customHeight="1">
      <x:c r="A10" s="3" t="inlineStr">
        <x:is>
          <x:t xml:space="preserve">S7</x:t>
        </x:is>
      </x:c>
      <x:c r="B10" s="3" t="inlineStr">
        <x:is>
          <x:t xml:space="preserve">Orders &amp; Payment Reconciliation</x:t>
        </x:is>
      </x:c>
      <x:c r="C10" s="4" t="n">
        <x:v>46405</x:v>
      </x:c>
      <x:c r="D10" s="4" t="n">
        <x:v>46416</x:v>
      </x:c>
      <x:c r="E10" s="3" t="inlineStr">
        <x:is>
          <x:t xml:space="preserve">Complete order creation, verified payment status, customer order visibility, and transactional notifications.</x:t>
        </x:is>
      </x:c>
      <x:c r="F10" s="3" t="inlineStr">
        <x:is>
          <x:t xml:space="preserve">Payment webhooks/signature verification; order/payment state machine; order detail/history; confirmation email; invoice/receipt baseline; transactional outbox or retryable jobs; order status timeline; reconciliation logs.</x:t>
        </x:is>
      </x:c>
      <x:c r="G10" s="3" t="inlineStr">
        <x:is>
          <x:t xml:space="preserve">Order state is driven by verified provider events; webhook replay is idempotent; customer sees correct status; payment failures/refunds do not mark an order paid; notification failures retry safely.</x:t>
        </x:is>
      </x:c>
      <x:c r="H10" s="3" t="inlineStr">
        <x:is>
          <x:t xml:space="preserve">Normal</x:t>
        </x:is>
      </x:c>
      <x:c r="I10" s="3" t="inlineStr">
        <x:is>
          <x:t xml:space="preserve">S6 checkout and provider sandbox; email provider credentials.</x:t>
        </x:is>
      </x:c>
    </x:row>
    <x:row r="11" ht="90" customHeight="1">
      <x:c r="A11" s="3" t="inlineStr">
        <x:is>
          <x:t xml:space="preserve">S8</x:t>
        </x:is>
      </x:c>
      <x:c r="B11" s="3" t="inlineStr">
        <x:is>
          <x:t xml:space="preserve">Admin &amp; Operations</x:t>
        </x:is>
      </x:c>
      <x:c r="C11" s="4" t="n">
        <x:v>46419</x:v>
      </x:c>
      <x:c r="D11" s="4" t="n">
        <x:v>46430</x:v>
      </x:c>
      <x:c r="E11" s="3" t="inlineStr">
        <x:is>
          <x:t xml:space="preserve">Enable staff to operate the store without direct database edits.</x:t>
        </x:is>
      </x:c>
      <x:c r="F11" s="3" t="inlineStr">
        <x:is>
          <x:t xml:space="preserve">Admin dashboard; role-gated catalog CRUD; bulk product import/export; inventory adjustments and audit trail; order search/detail; fulfilment/status updates; coupon management; customer lookup with restricted access; operational filters.</x:t>
        </x:is>
      </x:c>
      <x:c r="G11" s="3" t="inlineStr">
        <x:is>
          <x:t xml:space="preserve">Only authorized roles can use admin actions; every sensitive stock/order adjustment is audited; invalid transitions are blocked; CSV import reports row-level errors; staff runbooks drafted.</x:t>
        </x:is>
      </x:c>
      <x:c r="H11" s="3" t="inlineStr">
        <x:is>
          <x:t xml:space="preserve">Normal</x:t>
        </x:is>
      </x:c>
      <x:c r="I11" s="3" t="inlineStr">
        <x:is>
          <x:t xml:space="preserve">S2 RBAC; S3/S4 catalog/inventory; S5 offers; S7 orders.</x:t>
        </x:is>
      </x:c>
    </x:row>
    <x:row r="12" ht="90" customHeight="1">
      <x:c r="A12" s="3" t="inlineStr">
        <x:is>
          <x:t xml:space="preserve">S9</x:t>
        </x:is>
      </x:c>
      <x:c r="B12" s="3" t="inlineStr">
        <x:is>
          <x:t xml:space="preserve">Retention, Reviews &amp; Self-Service</x:t>
        </x:is>
      </x:c>
      <x:c r="C12" s="4" t="n">
        <x:v>46433</x:v>
      </x:c>
      <x:c r="D12" s="4" t="n">
        <x:v>46444</x:v>
      </x:c>
      <x:c r="E12" s="3" t="inlineStr">
        <x:is>
          <x:t xml:space="preserve">Finish the agreed launch scope around post-purchase self-service, reviews, search quality, and notifications.</x:t>
        </x:is>
      </x:c>
      <x:c r="F12" s="3" t="inlineStr">
        <x:is>
          <x:t xml:space="preserve">Product ratings/reviews with moderation; cancellation eligibility; return/refund request workflow per approved policy; email templates and preferences; search relevance tuning; wishlist; customer order self-service; accessibility/SEO gap closure; support contact path.</x:t>
        </x:is>
      </x:c>
      <x:c r="G12" s="3" t="inlineStr">
        <x:is>
          <x:t xml:space="preserve">Return/cancel rules match approved policy; reviews are tied to eligible orders or clearly configured policy; email content and preference behavior tested; all P0 user journeys pass E2E tests.</x:t>
        </x:is>
      </x:c>
      <x:c r="H12" s="3" t="inlineStr">
        <x:is>
          <x:t xml:space="preserve">Normal</x:t>
        </x:is>
      </x:c>
      <x:c r="I12" s="3" t="inlineStr">
        <x:is>
          <x:t xml:space="preserve">S7 order lifecycle; PM approval for cancellation/return/review policies.</x:t>
        </x:is>
      </x:c>
    </x:row>
    <x:row r="13" ht="90" customHeight="1">
      <x:c r="A13" s="5" t="inlineStr">
        <x:is>
          <x:t xml:space="preserve">S10</x:t>
        </x:is>
      </x:c>
      <x:c r="B13" s="5" t="inlineStr">
        <x:is>
          <x:t xml:space="preserve">System Hardening &amp; Release Candidate</x:t>
        </x:is>
      </x:c>
      <x:c r="C13" s="6" t="n">
        <x:v>46447</x:v>
      </x:c>
      <x:c r="D13" s="6" t="n">
        <x:v>46458</x:v>
      </x:c>
      <x:c r="E13" s="5" t="inlineStr">
        <x:is>
          <x:t xml:space="preserve">Stabilize cross-service behavior and prove security, performance, accessibility, observability, and production deployment paths.</x:t>
        </x:is>
      </x:c>
      <x:c r="F13" s="5" t="inlineStr">
        <x:is>
          <x:t xml:space="preserve">Full regression; contract/integration/E2E tests; performance baseline/load test; OWASP review; dependency/container scanning; WCAG audit; SEO crawl; structured logs/traces/alerts; backup restore test; CI/CD deployment to staging and prod; feature flags.</x:t>
        </x:is>
      </x:c>
      <x:c r="G13" s="5" t="inlineStr">
        <x:is>
          <x:t xml:space="preserve">No open blocker/critical defects; agreed performance gates pass; security findings triaged with no unresolved critical/high blockers; backup restore and rollback rehearsed; go-live checklist reviewed.</x:t>
        </x:is>
      </x:c>
      <x:c r="H13" s="5" t="inlineStr">
        <x:is>
          <x:t xml:space="preserve">Normal</x:t>
        </x:is>
      </x:c>
      <x:c r="I13" s="5" t="inlineStr">
        <x:is>
          <x:t xml:space="preserve">Feature-complete S9; production AWS environment and secrets; test data.</x:t>
        </x:is>
      </x:c>
    </x:row>
    <x:row r="14" ht="90" customHeight="1">
      <x:c r="A14" s="5" t="inlineStr">
        <x:is>
          <x:t xml:space="preserve">S11</x:t>
        </x:is>
      </x:c>
      <x:c r="B14" s="5" t="inlineStr">
        <x:is>
          <x:t xml:space="preserve">UAT, Cutover &amp; Launch Readiness</x:t>
        </x:is>
      </x:c>
      <x:c r="C14" s="6" t="n">
        <x:v>46461</x:v>
      </x:c>
      <x:c r="D14" s="6" t="n">
        <x:v>46472</x:v>
      </x:c>
      <x:c r="E14" s="5" t="inlineStr">
        <x:is>
          <x:t xml:space="preserve">Complete business UAT, resolve launch blockers, validate operations, and approve the production release.</x:t>
        </x:is>
      </x:c>
      <x:c r="F14" s="5" t="inlineStr">
        <x:is>
          <x:t xml:space="preserve">Business UAT; defect fixes; migration rehearsal; production smoke tests; payment live-mode validation; inventory opening load; customer support/runbooks; incident and rollback rehearsal; analytics verification; final accessibility/performance checks.</x:t>
        </x:is>
      </x:c>
      <x:c r="G14" s="5" t="inlineStr">
        <x:is>
          <x:t xml:space="preserve">Product owner signs off against acceptance criteria; all P0 tests pass; no Sev-1/Sev-2 defects open; monitoring/alerts active; business operations ready; release go/no-go signed.</x:t>
        </x:is>
      </x:c>
      <x:c r="H14" s="5" t="inlineStr">
        <x:is>
          <x:t xml:space="preserve">Normal; protect from scope growth</x:t>
        </x:is>
      </x:c>
      <x:c r="I14" s="5" t="inlineStr">
        <x:is>
          <x:t xml:space="preserve">S10 RC; final content/policies/product data; provider production approvals.</x:t>
        </x:is>
      </x:c>
    </x:row>
    <x:row r="15" ht="90" customHeight="1">
      <x:c r="A15" s="5" t="inlineStr">
        <x:is>
          <x:t xml:space="preserve">R</x:t>
        </x:is>
      </x:c>
      <x:c r="B15" s="5" t="inlineStr">
        <x:is>
          <x:t xml:space="preserve">Production Launch Window</x:t>
        </x:is>
      </x:c>
      <x:c r="C15" s="6" t="n">
        <x:v>46475</x:v>
      </x:c>
      <x:c r="D15" s="6" t="n">
        <x:v>46477</x:v>
      </x:c>
      <x:c r="E15" s="5" t="inlineStr">
        <x:is>
          <x:t xml:space="preserve">Deploy the approved release, monitor live traffic, and resolve launch-day issues.</x:t>
        </x:is>
      </x:c>
      <x:c r="F15" s="5" t="inlineStr">
        <x:is>
          <x:t xml:space="preserve">Controlled deployment; smoke test; payment/order verification; availability and error monitoring; rapid rollback path; launch-day communications; daily triage.</x:t>
        </x:is>
      </x:c>
      <x:c r="G15" s="5" t="inlineStr">
        <x:is>
          <x:t xml:space="preserve">Production smoke tests pass; a test order is completed and reconciled; no critical incident; support/monitoring staffed; release notes and known issues published.</x:t>
        </x:is>
      </x:c>
      <x:c r="H15" s="5" t="inlineStr">
        <x:is>
          <x:t xml:space="preserve">Release window only</x:t>
        </x:is>
      </x:c>
      <x:c r="I15" s="5" t="inlineStr">
        <x:is>
          <x:t xml:space="preserve">S11 signed go/no-go; production credentials; runbook and rollback verified.</x:t>
        </x:is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3" customWidth="1"/>
    <x:col min="2" max="2" width="10" customWidth="1"/>
    <x:col min="3" max="3" width="21" customWidth="1"/>
    <x:col min="4" max="4" width="38" customWidth="1"/>
    <x:col min="5" max="5" width="60" customWidth="1"/>
    <x:col min="6" max="6" width="60" customWidth="1"/>
    <x:col min="7" max="7" width="12" customWidth="1"/>
    <x:col min="8" max="8" width="23" customWidth="1"/>
    <x:col min="9" max="9" width="13" customWidth="1"/>
    <x:col min="10" max="10" width="38" customWidth="1"/>
    <x:col min="11" max="11" width="17" customWidth="1"/>
    <x:col min="12" max="12" width="45" customWidth="1"/>
    <x:col min="13" max="13" width="30" hidden="0" customWidth="1"/>
  </x:cols>
  <x:sheetData>
    <x:row r="1" ht="30" customHeight="1">
      <x:c r="A1" s="1" t="inlineStr">
        <x:is>
          <x:t xml:space="preserve">TICKET-LEVEL DELIVERY BACKLOG</x:t>
        </x:is>
      </x:c>
    </x:row>
    <x:row r="2">
      <x:c r="A2" s="2" t="inlineStr">
        <x:is>
          <x:t xml:space="preserve">Ticket ID</x:t>
        </x:is>
      </x:c>
      <x:c r="B2" s="2" t="inlineStr">
        <x:is>
          <x:t xml:space="preserve">Sprint</x:t>
        </x:is>
      </x:c>
      <x:c r="C2" s="2" t="inlineStr">
        <x:is>
          <x:t xml:space="preserve">Epic</x:t>
        </x:is>
      </x:c>
      <x:c r="D2" s="2" t="inlineStr">
        <x:is>
          <x:t xml:space="preserve">Title</x:t>
        </x:is>
      </x:c>
      <x:c r="E2" s="2" t="inlineStr">
        <x:is>
          <x:t xml:space="preserve">Description / Scope</x:t>
        </x:is>
      </x:c>
      <x:c r="F2" s="2" t="inlineStr">
        <x:is>
          <x:t xml:space="preserve">Acceptance Criteria</x:t>
        </x:is>
      </x:c>
      <x:c r="G2" s="2" t="inlineStr">
        <x:is>
          <x:t xml:space="preserve">Priority</x:t>
        </x:is>
      </x:c>
      <x:c r="H2" s="2" t="inlineStr">
        <x:is>
          <x:t xml:space="preserve">Owner Role</x:t>
        </x:is>
      </x:c>
      <x:c r="I2" s="2" t="inlineStr">
        <x:is>
          <x:t xml:space="preserve">Story Points</x:t>
        </x:is>
      </x:c>
      <x:c r="J2" s="2" t="inlineStr">
        <x:is>
          <x:t xml:space="preserve">Dependencies</x:t>
        </x:is>
      </x:c>
      <x:c r="K2" s="2" t="inlineStr">
        <x:is>
          <x:t xml:space="preserve">Status</x:t>
        </x:is>
      </x:c>
      <x:c r="L2" s="2" t="inlineStr">
        <x:is>
          <x:t xml:space="preserve">Notes</x:t>
        </x:is>
      </x:c>
      <x:c r="M2" s="46" t="str">
        <x:v>PRD Requirement IDs / Traceability</x:v>
      </x:c>
    </x:row>
    <x:row r="3" ht="58" customHeight="1">
      <x:c r="A3" s="3" t="inlineStr">
        <x:is>
          <x:t xml:space="preserve">ECOM-001</x:t>
        </x:is>
      </x:c>
      <x:c r="B3" s="3" t="inlineStr">
        <x:is>
          <x:t xml:space="preserve">S1</x:t>
        </x:is>
      </x:c>
      <x:c r="C3" s="3" t="inlineStr">
        <x:is>
          <x:t xml:space="preserve">Governance</x:t>
        </x:is>
      </x:c>
      <x:c r="D3" s="3" t="inlineStr">
        <x:is>
          <x:t xml:space="preserve">Confirm launch assumptions and decisions</x:t>
        </x:is>
      </x:c>
      <x:c r="E3" s="3" t="inlineStr">
        <x:is>
          <x:t xml:space="preserve">Record launch market, currency, product ownership model, payment provider, shipping/tax approach, return/cancellation policy, review rules, expected traffic, and team capacity.</x:t>
        </x:is>
      </x:c>
      <x:c r="F3" s="3" t="inlineStr">
        <x:is>
          <x:t xml:space="preserve">Each decision has an owner, due date, chosen option or explicit TBD, and impact if late.</x:t>
        </x:is>
      </x:c>
      <x:c r="G3" s="7" t="inlineStr">
        <x:is>
          <x:t xml:space="preserve">P0</x:t>
        </x:is>
      </x:c>
      <x:c r="H3" s="3" t="inlineStr">
        <x:is>
          <x:t xml:space="preserve">PM / Product</x:t>
        </x:is>
      </x:c>
      <x:c r="I3" s="3" t="n">
        <x:v>3</x:v>
      </x:c>
      <x:c r="J3" s="3" t="inlineStr">
        <x:is>
          <x:t xml:space="preserve">None</x:t>
        </x:is>
      </x:c>
      <x:c r="K3" s="3" t="inlineStr">
        <x:is>
          <x:t xml:space="preserve">Not Started</x:t>
        </x:is>
      </x:c>
      <x:c r="L3" s="3" t="inlineStr">
        <x:is>
          <x:t xml:space="preserve">Refine with PM; add implementation subtasks and test evidence.</x:t>
        </x:is>
      </x:c>
      <x:c r="M3" s="55" t="str">
        <x:v>Scope; Architecture; NFRs</x:v>
      </x:c>
    </x:row>
    <x:row r="4" ht="58" customHeight="1">
      <x:c r="A4" s="3" t="inlineStr">
        <x:is>
          <x:t xml:space="preserve">ECOM-002</x:t>
        </x:is>
      </x:c>
      <x:c r="B4" s="3" t="inlineStr">
        <x:is>
          <x:t xml:space="preserve">S1</x:t>
        </x:is>
      </x:c>
      <x:c r="C4" s="3" t="inlineStr">
        <x:is>
          <x:t xml:space="preserve">Requirements</x:t>
        </x:is>
      </x:c>
      <x:c r="D4" s="3" t="inlineStr">
        <x:is>
          <x:t xml:space="preserve">Approve PRD and release scope</x:t>
        </x:is>
      </x:c>
      <x:c r="E4" s="3" t="inlineStr">
        <x:is>
          <x:t xml:space="preserve">Review launch P0 scope, exclusions, success metrics, and release gates with product, engineering, design, QA, and operations.</x:t>
        </x:is>
      </x:c>
      <x:c r="F4" s="3" t="inlineStr">
        <x:is>
          <x:t xml:space="preserve">Named approvers sign off; scope changes require impact review.</x:t>
        </x:is>
      </x:c>
      <x:c r="G4" s="7" t="inlineStr">
        <x:is>
          <x:t xml:space="preserve">P0</x:t>
        </x:is>
      </x:c>
      <x:c r="H4" s="3" t="inlineStr">
        <x:is>
          <x:t xml:space="preserve">PM / Product</x:t>
        </x:is>
      </x:c>
      <x:c r="I4" s="3" t="n">
        <x:v>3</x:v>
      </x:c>
      <x:c r="J4" s="3" t="inlineStr">
        <x:is>
          <x:t xml:space="preserve">None</x:t>
        </x:is>
      </x:c>
      <x:c r="K4" s="3" t="inlineStr">
        <x:is>
          <x:t xml:space="preserve">Not Started</x:t>
        </x:is>
      </x:c>
      <x:c r="L4" s="3" t="inlineStr">
        <x:is>
          <x:t xml:space="preserve">Refine with PM; add implementation subtasks and test evidence.</x:t>
        </x:is>
      </x:c>
      <x:c r="M4" s="55" t="str">
        <x:v>Scope; Architecture; NFRs</x:v>
      </x:c>
    </x:row>
    <x:row r="5" ht="58" customHeight="1">
      <x:c r="A5" s="3" t="inlineStr">
        <x:is>
          <x:t xml:space="preserve">ECOM-003</x:t>
        </x:is>
      </x:c>
      <x:c r="B5" s="3" t="inlineStr">
        <x:is>
          <x:t xml:space="preserve">S1</x:t>
        </x:is>
      </x:c>
      <x:c r="C5" s="3" t="inlineStr">
        <x:is>
          <x:t xml:space="preserve">Architecture</x:t>
        </x:is>
      </x:c>
      <x:c r="D5" s="3" t="inlineStr">
        <x:is>
          <x:t xml:space="preserve">Create system context and service-boundary ADR</x:t>
        </x:is>
      </x:c>
      <x:c r="E5" s="3" t="inlineStr">
        <x:is>
          <x:t xml:space="preserve">Define catalog, identity, cart, checkout/order, payment adapter, notification and admin boundaries; document synchronous vs asynchronous paths.</x:t>
        </x:is>
      </x:c>
      <x:c r="F5" s="3" t="inlineStr">
        <x:is>
          <x:t xml:space="preserve">ADR lists APIs/events, data ownership, failure modes, and deployment approach.</x:t>
        </x:is>
      </x:c>
      <x:c r="G5" s="7" t="inlineStr">
        <x:is>
          <x:t xml:space="preserve">P0</x:t>
        </x:is>
      </x:c>
      <x:c r="H5" s="3" t="inlineStr">
        <x:is>
          <x:t xml:space="preserve">Architect / Backend</x:t>
        </x:is>
      </x:c>
      <x:c r="I5" s="3" t="n">
        <x:v>5</x:v>
      </x:c>
      <x:c r="J5" s="3" t="inlineStr">
        <x:is>
          <x:t xml:space="preserve">None</x:t>
        </x:is>
      </x:c>
      <x:c r="K5" s="3" t="inlineStr">
        <x:is>
          <x:t xml:space="preserve">Not Started</x:t>
        </x:is>
      </x:c>
      <x:c r="L5" s="3" t="inlineStr">
        <x:is>
          <x:t xml:space="preserve">Refine with PM; add implementation subtasks and test evidence.</x:t>
        </x:is>
      </x:c>
      <x:c r="M5" s="55" t="str">
        <x:v>Scope; Architecture; NFRs</x:v>
      </x:c>
    </x:row>
    <x:row r="6" ht="58" customHeight="1">
      <x:c r="A6" s="3" t="inlineStr">
        <x:is>
          <x:t xml:space="preserve">ECOM-004</x:t>
        </x:is>
      </x:c>
      <x:c r="B6" s="3" t="inlineStr">
        <x:is>
          <x:t xml:space="preserve">S1</x:t>
        </x:is>
      </x:c>
      <x:c r="C6" s="3" t="inlineStr">
        <x:is>
          <x:t xml:space="preserve">Engineering Platform</x:t>
        </x:is>
      </x:c>
      <x:c r="D6" s="3" t="inlineStr">
        <x:is>
          <x:t xml:space="preserve">Create repositories and branch/PR conventions</x:t>
        </x:is>
      </x:c>
      <x:c r="E6" s="3" t="inlineStr">
        <x:is>
          <x:t xml:space="preserve">Set up frontend, backend service packages or repos, linting, formatting, commit checks, code ownership, and PR template.</x:t>
        </x:is>
      </x:c>
      <x:c r="F6" s="3" t="inlineStr">
        <x:is>
          <x:t xml:space="preserve">A fresh clone can run documented commands; main branch requires CI and review.</x:t>
        </x:is>
      </x:c>
      <x:c r="G6" s="7" t="inlineStr">
        <x:is>
          <x:t xml:space="preserve">P0</x:t>
        </x:is>
      </x:c>
      <x:c r="H6" s="3" t="inlineStr">
        <x:is>
          <x:t xml:space="preserve">DevEx</x:t>
        </x:is>
      </x:c>
      <x:c r="I6" s="3" t="n">
        <x:v>3</x:v>
      </x:c>
      <x:c r="J6" s="3" t="inlineStr">
        <x:is>
          <x:t xml:space="preserve">None</x:t>
        </x:is>
      </x:c>
      <x:c r="K6" s="3" t="inlineStr">
        <x:is>
          <x:t xml:space="preserve">Not Started</x:t>
        </x:is>
      </x:c>
      <x:c r="L6" s="3" t="inlineStr">
        <x:is>
          <x:t xml:space="preserve">Refine with PM; add implementation subtasks and test evidence.</x:t>
        </x:is>
      </x:c>
      <x:c r="M6" s="55" t="str">
        <x:v>Scope; Architecture; NFRs</x:v>
      </x:c>
    </x:row>
    <x:row r="7" ht="58" customHeight="1">
      <x:c r="A7" s="3" t="inlineStr">
        <x:is>
          <x:t xml:space="preserve">ECOM-005</x:t>
        </x:is>
      </x:c>
      <x:c r="B7" s="3" t="inlineStr">
        <x:is>
          <x:t xml:space="preserve">S1</x:t>
        </x:is>
      </x:c>
      <x:c r="C7" s="3" t="inlineStr">
        <x:is>
          <x:t xml:space="preserve">Engineering Platform</x:t>
        </x:is>
      </x:c>
      <x:c r="D7" s="3" t="inlineStr">
        <x:is>
          <x:t xml:space="preserve">Build CI baseline</x:t>
        </x:is>
      </x:c>
      <x:c r="E7" s="3" t="inlineStr">
        <x:is>
          <x:t xml:space="preserve">Add type checks, lint, unit-test job, dependency audit, and build checks for frontend and backend.</x:t>
        </x:is>
      </x:c>
      <x:c r="F7" s="3" t="inlineStr">
        <x:is>
          <x:t xml:space="preserve">PR checks report pass/fail and block merges on configured required gates.</x:t>
        </x:is>
      </x:c>
      <x:c r="G7" s="7" t="inlineStr">
        <x:is>
          <x:t xml:space="preserve">P0</x:t>
        </x:is>
      </x:c>
      <x:c r="H7" s="3" t="inlineStr">
        <x:is>
          <x:t xml:space="preserve">DevEx</x:t>
        </x:is>
      </x:c>
      <x:c r="I7" s="3" t="n">
        <x:v>5</x:v>
      </x:c>
      <x:c r="J7" s="3" t="inlineStr">
        <x:is>
          <x:t xml:space="preserve">None</x:t>
        </x:is>
      </x:c>
      <x:c r="K7" s="3" t="inlineStr">
        <x:is>
          <x:t xml:space="preserve">Not Started</x:t>
        </x:is>
      </x:c>
      <x:c r="L7" s="3" t="inlineStr">
        <x:is>
          <x:t xml:space="preserve">Refine with PM; add implementation subtasks and test evidence.</x:t>
        </x:is>
      </x:c>
      <x:c r="M7" s="55" t="str">
        <x:v>Scope; Architecture; NFRs</x:v>
      </x:c>
    </x:row>
    <x:row r="8" ht="58" customHeight="1">
      <x:c r="A8" s="3" t="inlineStr">
        <x:is>
          <x:t xml:space="preserve">ECOM-006</x:t>
        </x:is>
      </x:c>
      <x:c r="B8" s="3" t="inlineStr">
        <x:is>
          <x:t xml:space="preserve">S1</x:t>
        </x:is>
      </x:c>
      <x:c r="C8" s="3" t="inlineStr">
        <x:is>
          <x:t xml:space="preserve">Cloud Platform</x:t>
        </x:is>
      </x:c>
      <x:c r="D8" s="3" t="inlineStr">
        <x:is>
          <x:t xml:space="preserve">Provision development and staging skeleton on AWS</x:t>
        </x:is>
      </x:c>
      <x:c r="E8" s="3" t="inlineStr">
        <x:is>
          <x:t xml:space="preserve">Define infrastructure as code, environment separation, network boundaries, least-privilege roles, and secret handling.</x:t>
        </x:is>
      </x:c>
      <x:c r="F8" s="3" t="inlineStr">
        <x:is>
          <x:t xml:space="preserve">Dev and staging resources are reproducible; no secrets committed to source.</x:t>
        </x:is>
      </x:c>
      <x:c r="G8" s="7" t="inlineStr">
        <x:is>
          <x:t xml:space="preserve">P0</x:t>
        </x:is>
      </x:c>
      <x:c r="H8" s="3" t="inlineStr">
        <x:is>
          <x:t xml:space="preserve">Cloud / DevOps</x:t>
        </x:is>
      </x:c>
      <x:c r="I8" s="3" t="n">
        <x:v>5</x:v>
      </x:c>
      <x:c r="J8" s="3" t="inlineStr">
        <x:is>
          <x:t xml:space="preserve">None</x:t>
        </x:is>
      </x:c>
      <x:c r="K8" s="3" t="inlineStr">
        <x:is>
          <x:t xml:space="preserve">Not Started</x:t>
        </x:is>
      </x:c>
      <x:c r="L8" s="3" t="inlineStr">
        <x:is>
          <x:t xml:space="preserve">Refine with PM; add implementation subtasks and test evidence.</x:t>
        </x:is>
      </x:c>
      <x:c r="M8" s="55" t="str">
        <x:v>Scope; Architecture; NFRs</x:v>
      </x:c>
    </x:row>
    <x:row r="9" ht="58" customHeight="1">
      <x:c r="A9" s="3" t="inlineStr">
        <x:is>
          <x:t xml:space="preserve">ECOM-007</x:t>
        </x:is>
      </x:c>
      <x:c r="B9" s="3" t="inlineStr">
        <x:is>
          <x:t xml:space="preserve">S1</x:t>
        </x:is>
      </x:c>
      <x:c r="C9" s="3" t="inlineStr">
        <x:is>
          <x:t xml:space="preserve">Data</x:t>
        </x:is>
      </x:c>
      <x:c r="D9" s="3" t="inlineStr">
        <x:is>
          <x:t xml:space="preserve">Draft ERD and migration conventions</x:t>
        </x:is>
      </x:c>
      <x:c r="E9" s="3" t="inlineStr">
        <x:is>
          <x:t xml:space="preserve">Design initial entities and ownership; define migrations, IDs, timestamps, soft delete policy, and audit needs.</x:t>
        </x:is>
      </x:c>
      <x:c r="F9" s="3" t="inlineStr">
        <x:is>
          <x:t xml:space="preserve">ERD reviewed; migration applies forward on clean database and is covered by test.</x:t>
        </x:is>
      </x:c>
      <x:c r="G9" s="7" t="inlineStr">
        <x:is>
          <x:t xml:space="preserve">P0</x:t>
        </x:is>
      </x:c>
      <x:c r="H9" s="3" t="inlineStr">
        <x:is>
          <x:t xml:space="preserve">Backend / Data</x:t>
        </x:is>
      </x:c>
      <x:c r="I9" s="3" t="n">
        <x:v>5</x:v>
      </x:c>
      <x:c r="J9" s="3" t="inlineStr">
        <x:is>
          <x:t xml:space="preserve">None</x:t>
        </x:is>
      </x:c>
      <x:c r="K9" s="3" t="inlineStr">
        <x:is>
          <x:t xml:space="preserve">Not Started</x:t>
        </x:is>
      </x:c>
      <x:c r="L9" s="3" t="inlineStr">
        <x:is>
          <x:t xml:space="preserve">Refine with PM; add implementation subtasks and test evidence.</x:t>
        </x:is>
      </x:c>
      <x:c r="M9" s="55" t="str">
        <x:v>Scope; Architecture; NFRs</x:v>
      </x:c>
    </x:row>
    <x:row r="10" ht="58" customHeight="1">
      <x:c r="A10" s="3" t="inlineStr">
        <x:is>
          <x:t xml:space="preserve">ECOM-008</x:t>
        </x:is>
      </x:c>
      <x:c r="B10" s="3" t="inlineStr">
        <x:is>
          <x:t xml:space="preserve">S1</x:t>
        </x:is>
      </x:c>
      <x:c r="C10" s="3" t="inlineStr">
        <x:is>
          <x:t xml:space="preserve">UX</x:t>
        </x:is>
      </x:c>
      <x:c r="D10" s="3" t="inlineStr">
        <x:is>
          <x:t xml:space="preserve">Create responsive journey wireframes</x:t>
        </x:is>
      </x:c>
      <x:c r="E10" s="3" t="inlineStr">
        <x:is>
          <x:t xml:space="preserve">Wireframe browse, product detail, cart, checkout, auth, order history, and admin core flows.</x:t>
        </x:is>
      </x:c>
      <x:c r="F10" s="3" t="inlineStr">
        <x:is>
          <x:t xml:space="preserve">Product reviews desktop/mobile flows and error/empty/loading states.</x:t>
        </x:is>
      </x:c>
      <x:c r="G10" s="7" t="inlineStr">
        <x:is>
          <x:t xml:space="preserve">P0</x:t>
        </x:is>
      </x:c>
      <x:c r="H10" s="3" t="inlineStr">
        <x:is>
          <x:t xml:space="preserve">UX / Product</x:t>
        </x:is>
      </x:c>
      <x:c r="I10" s="3" t="n">
        <x:v>5</x:v>
      </x:c>
      <x:c r="J10" s="3" t="inlineStr">
        <x:is>
          <x:t xml:space="preserve">None</x:t>
        </x:is>
      </x:c>
      <x:c r="K10" s="3" t="inlineStr">
        <x:is>
          <x:t xml:space="preserve">Not Started</x:t>
        </x:is>
      </x:c>
      <x:c r="L10" s="3" t="inlineStr">
        <x:is>
          <x:t xml:space="preserve">Refine with PM; add implementation subtasks and test evidence.</x:t>
        </x:is>
      </x:c>
      <x:c r="M10" s="55" t="str">
        <x:v>Scope; Architecture; NFRs</x:v>
      </x:c>
    </x:row>
    <x:row r="11" ht="58" customHeight="1">
      <x:c r="A11" s="3" t="inlineStr">
        <x:is>
          <x:t xml:space="preserve">ECOM-009</x:t>
        </x:is>
      </x:c>
      <x:c r="B11" s="3" t="inlineStr">
        <x:is>
          <x:t xml:space="preserve">S1</x:t>
        </x:is>
      </x:c>
      <x:c r="C11" s="3" t="inlineStr">
        <x:is>
          <x:t xml:space="preserve">Security</x:t>
        </x:is>
      </x:c>
      <x:c r="D11" s="3" t="inlineStr">
        <x:is>
          <x:t xml:space="preserve">Create threat model and security baseline</x:t>
        </x:is>
      </x:c>
      <x:c r="E11" s="3" t="inlineStr">
        <x:is>
          <x:t xml:space="preserve">Identify risks around auth/session, payment/webhooks, admin privilege, PII, injection, abuse, and supply chain.</x:t>
        </x:is>
      </x:c>
      <x:c r="F11" s="3" t="inlineStr">
        <x:is>
          <x:t xml:space="preserve">Risk register has mitigation, severity, owner, and verification method.</x:t>
        </x:is>
      </x:c>
      <x:c r="G11" s="7" t="inlineStr">
        <x:is>
          <x:t xml:space="preserve">P0</x:t>
        </x:is>
      </x:c>
      <x:c r="H11" s="3" t="inlineStr">
        <x:is>
          <x:t xml:space="preserve">Security / Backend</x:t>
        </x:is>
      </x:c>
      <x:c r="I11" s="3" t="n">
        <x:v>3</x:v>
      </x:c>
      <x:c r="J11" s="3" t="inlineStr">
        <x:is>
          <x:t xml:space="preserve">None</x:t>
        </x:is>
      </x:c>
      <x:c r="K11" s="3" t="inlineStr">
        <x:is>
          <x:t xml:space="preserve">Not Started</x:t>
        </x:is>
      </x:c>
      <x:c r="L11" s="3" t="inlineStr">
        <x:is>
          <x:t xml:space="preserve">Refine with PM; add implementation subtasks and test evidence.</x:t>
        </x:is>
      </x:c>
      <x:c r="M11" s="55" t="str">
        <x:v>NFR-Security</x:v>
      </x:c>
    </x:row>
    <x:row r="12" ht="58" customHeight="1">
      <x:c r="A12" s="3" t="inlineStr">
        <x:is>
          <x:t xml:space="preserve">ECOM-010</x:t>
        </x:is>
      </x:c>
      <x:c r="B12" s="3" t="inlineStr">
        <x:is>
          <x:t xml:space="preserve">S1</x:t>
        </x:is>
      </x:c>
      <x:c r="C12" s="3" t="inlineStr">
        <x:is>
          <x:t xml:space="preserve">Quality</x:t>
        </x:is>
      </x:c>
      <x:c r="D12" s="3" t="inlineStr">
        <x:is>
          <x:t xml:space="preserve">Set Definition of Ready/Done and test strategy</x:t>
        </x:is>
      </x:c>
      <x:c r="E12" s="3" t="inlineStr">
        <x:is>
          <x:t xml:space="preserve">Define ticket acceptance format, required automated coverage, environments, test data, and severity levels.</x:t>
        </x:is>
      </x:c>
      <x:c r="F12" s="3" t="inlineStr">
        <x:is>
          <x:t xml:space="preserve">Team publishes shared DoR/DoD; P0 stories require acceptance tests and observability notes.</x:t>
        </x:is>
      </x:c>
      <x:c r="G12" s="7" t="inlineStr">
        <x:is>
          <x:t xml:space="preserve">P0</x:t>
        </x:is>
      </x:c>
      <x:c r="H12" s="3" t="inlineStr">
        <x:is>
          <x:t xml:space="preserve">QA / PM</x:t>
        </x:is>
      </x:c>
      <x:c r="I12" s="3" t="n">
        <x:v>2</x:v>
      </x:c>
      <x:c r="J12" s="3" t="inlineStr">
        <x:is>
          <x:t xml:space="preserve">None</x:t>
        </x:is>
      </x:c>
      <x:c r="K12" s="3" t="inlineStr">
        <x:is>
          <x:t xml:space="preserve">Not Started</x:t>
        </x:is>
      </x:c>
      <x:c r="L12" s="3" t="inlineStr">
        <x:is>
          <x:t xml:space="preserve">Refine with PM; add implementation subtasks and test evidence.</x:t>
        </x:is>
      </x:c>
      <x:c r="M12" s="55" t="str">
        <x:v>NFR-Testing; Release Gates</x:v>
      </x:c>
    </x:row>
    <x:row r="13" ht="58" customHeight="1">
      <x:c r="A13" s="3" t="inlineStr">
        <x:is>
          <x:t xml:space="preserve">ECOM-011</x:t>
        </x:is>
      </x:c>
      <x:c r="B13" s="3" t="inlineStr">
        <x:is>
          <x:t xml:space="preserve">S2</x:t>
        </x:is>
      </x:c>
      <x:c r="C13" s="3" t="inlineStr">
        <x:is>
          <x:t xml:space="preserve">Frontend Platform</x:t>
        </x:is>
      </x:c>
      <x:c r="D13" s="3" t="inlineStr">
        <x:is>
          <x:t xml:space="preserve">Implement Next.js app shell and routing</x:t>
        </x:is>
      </x:c>
      <x:c r="E13" s="3" t="inlineStr">
        <x:is>
          <x:t xml:space="preserve">Build global layout, navigation, footer, loading/error/not-found pages, responsive breakpoints, and route structure.</x:t>
        </x:is>
      </x:c>
      <x:c r="F13" s="3" t="inlineStr">
        <x:is>
          <x:t xml:space="preserve">Core routes render at mobile/tablet/desktop; errors and loading states are consistent.</x:t>
        </x:is>
      </x:c>
      <x:c r="G13" s="7" t="inlineStr">
        <x:is>
          <x:t xml:space="preserve">P0</x:t>
        </x:is>
      </x:c>
      <x:c r="H13" s="3" t="inlineStr">
        <x:is>
          <x:t xml:space="preserve">Frontend</x:t>
        </x:is>
      </x:c>
      <x:c r="I13" s="3" t="n">
        <x:v>5</x:v>
      </x:c>
      <x:c r="J13" s="3" t="inlineStr">
        <x:is>
          <x:t xml:space="preserve">S1 UX wireframes</x:t>
        </x:is>
      </x:c>
      <x:c r="K13" s="3" t="inlineStr">
        <x:is>
          <x:t xml:space="preserve">Not Started</x:t>
        </x:is>
      </x:c>
      <x:c r="L13" s="3" t="inlineStr">
        <x:is>
          <x:t xml:space="preserve">Refine with PM; add implementation subtasks and test evidence.</x:t>
        </x:is>
      </x:c>
      <x:c r="M13" s="55" t="str">
        <x:v>PLAT-02; UX / Accessibility</x:v>
      </x:c>
    </x:row>
    <x:row r="14" ht="58" customHeight="1">
      <x:c r="A14" s="3" t="inlineStr">
        <x:is>
          <x:t xml:space="preserve">ECOM-012</x:t>
        </x:is>
      </x:c>
      <x:c r="B14" s="3" t="inlineStr">
        <x:is>
          <x:t xml:space="preserve">S2</x:t>
        </x:is>
      </x:c>
      <x:c r="C14" s="3" t="inlineStr">
        <x:is>
          <x:t xml:space="preserve">Design System</x:t>
        </x:is>
      </x:c>
      <x:c r="D14" s="3" t="inlineStr">
        <x:is>
          <x:t xml:space="preserve">Build accessible reusable UI components</x:t>
        </x:is>
      </x:c>
      <x:c r="E14" s="3" t="inlineStr">
        <x:is>
          <x:t xml:space="preserve">Implement button, input, select, checkbox, dialog, toast, skeleton, pagination, form field, badge, and modal patterns.</x:t>
        </x:is>
      </x:c>
      <x:c r="F14" s="3" t="inlineStr">
        <x:is>
          <x:t xml:space="preserve">Keyboard behavior, visible focus, labels, error messaging and disabled states tested.</x:t>
        </x:is>
      </x:c>
      <x:c r="G14" s="7" t="inlineStr">
        <x:is>
          <x:t xml:space="preserve">P0</x:t>
        </x:is>
      </x:c>
      <x:c r="H14" s="3" t="inlineStr">
        <x:is>
          <x:t xml:space="preserve">Frontend / UX</x:t>
        </x:is>
      </x:c>
      <x:c r="I14" s="3" t="n">
        <x:v>5</x:v>
      </x:c>
      <x:c r="J14" s="3" t="inlineStr">
        <x:is>
          <x:t xml:space="preserve">None</x:t>
        </x:is>
      </x:c>
      <x:c r="K14" s="3" t="inlineStr">
        <x:is>
          <x:t xml:space="preserve">Not Started</x:t>
        </x:is>
      </x:c>
      <x:c r="L14" s="3" t="inlineStr">
        <x:is>
          <x:t xml:space="preserve">Refine with PM; add implementation subtasks and test evidence.</x:t>
        </x:is>
      </x:c>
      <x:c r="M14" s="55" t="str">
        <x:v>PLAT-02; UX / Accessibility</x:v>
      </x:c>
    </x:row>
    <x:row r="15" ht="58" customHeight="1">
      <x:c r="A15" s="3" t="inlineStr">
        <x:is>
          <x:t xml:space="preserve">ECOM-013</x:t>
        </x:is>
      </x:c>
      <x:c r="B15" s="3" t="inlineStr">
        <x:is>
          <x:t xml:space="preserve">S2</x:t>
        </x:is>
      </x:c>
      <x:c r="C15" s="3" t="inlineStr">
        <x:is>
          <x:t xml:space="preserve">Backend Platform</x:t>
        </x:is>
      </x:c>
      <x:c r="D15" s="3" t="inlineStr">
        <x:is>
          <x:t xml:space="preserve">Create Express service template and API standards</x:t>
        </x:is>
      </x:c>
      <x:c r="E15" s="3" t="inlineStr">
        <x:is>
          <x:t xml:space="preserve">Add TypeScript, config validation, health/readiness endpoints, request IDs, structured errors, logging, and graceful shutdown.</x:t>
        </x:is>
      </x:c>
      <x:c r="F15" s="3" t="inlineStr">
        <x:is>
          <x:t xml:space="preserve">Service passes health checks; responses follow API envelope and errors do not leak internals.</x:t>
        </x:is>
      </x:c>
      <x:c r="G15" s="7" t="inlineStr">
        <x:is>
          <x:t xml:space="preserve">P0</x:t>
        </x:is>
      </x:c>
      <x:c r="H15" s="3" t="inlineStr">
        <x:is>
          <x:t xml:space="preserve">Backend</x:t>
        </x:is>
      </x:c>
      <x:c r="I15" s="3" t="n">
        <x:v>5</x:v>
      </x:c>
      <x:c r="J15" s="3" t="inlineStr">
        <x:is>
          <x:t xml:space="preserve">S1 ADR</x:t>
        </x:is>
      </x:c>
      <x:c r="K15" s="3" t="inlineStr">
        <x:is>
          <x:t xml:space="preserve">Not Started</x:t>
        </x:is>
      </x:c>
      <x:c r="L15" s="3" t="inlineStr">
        <x:is>
          <x:t xml:space="preserve">Refine with PM; add implementation subtasks and test evidence.</x:t>
        </x:is>
      </x:c>
      <x:c r="M15" s="55" t="str">
        <x:v>PLAT-01–PLAT-06</x:v>
      </x:c>
    </x:row>
    <x:row r="16" ht="58" customHeight="1">
      <x:c r="A16" s="3" t="inlineStr">
        <x:is>
          <x:t xml:space="preserve">ECOM-014</x:t>
        </x:is>
      </x:c>
      <x:c r="B16" s="3" t="inlineStr">
        <x:is>
          <x:t xml:space="preserve">S2</x:t>
        </x:is>
      </x:c>
      <x:c r="C16" s="3" t="inlineStr">
        <x:is>
          <x:t xml:space="preserve">Identity</x:t>
        </x:is>
      </x:c>
      <x:c r="D16" s="3" t="inlineStr">
        <x:is>
          <x:t xml:space="preserve">Implement registration and email verification</x:t>
        </x:is>
      </x:c>
      <x:c r="E16" s="3" t="inlineStr">
        <x:is>
          <x:t xml:space="preserve">Create account using validated fields; verify email with expiring single-use token; avoid account enumeration.</x:t>
        </x:is>
      </x:c>
      <x:c r="F16" s="3" t="inlineStr">
        <x:is>
          <x:t xml:space="preserve">Duplicate email behavior is safe; invalid/expired token rejected; verification event recorded.</x:t>
        </x:is>
      </x:c>
      <x:c r="G16" s="7" t="inlineStr">
        <x:is>
          <x:t xml:space="preserve">P0</x:t>
        </x:is>
      </x:c>
      <x:c r="H16" s="3" t="inlineStr">
        <x:is>
          <x:t xml:space="preserve">Backend / Frontend</x:t>
        </x:is>
      </x:c>
      <x:c r="I16" s="3" t="n">
        <x:v>5</x:v>
      </x:c>
      <x:c r="J16" s="3" t="inlineStr">
        <x:is>
          <x:t xml:space="preserve">None</x:t>
        </x:is>
      </x:c>
      <x:c r="K16" s="3" t="inlineStr">
        <x:is>
          <x:t xml:space="preserve">Not Started</x:t>
        </x:is>
      </x:c>
      <x:c r="L16" s="3" t="inlineStr">
        <x:is>
          <x:t xml:space="preserve">Refine with PM; add implementation subtasks and test evidence.</x:t>
        </x:is>
      </x:c>
      <x:c r="M16" s="55" t="str">
        <x:v>ID-01–ID-05; ID-08</x:v>
      </x:c>
    </x:row>
    <x:row r="17" ht="58" customHeight="1">
      <x:c r="A17" s="3" t="inlineStr">
        <x:is>
          <x:t xml:space="preserve">ECOM-015</x:t>
        </x:is>
      </x:c>
      <x:c r="B17" s="3" t="inlineStr">
        <x:is>
          <x:t xml:space="preserve">S2</x:t>
        </x:is>
      </x:c>
      <x:c r="C17" s="3" t="inlineStr">
        <x:is>
          <x:t xml:space="preserve">Identity</x:t>
        </x:is>
      </x:c>
      <x:c r="D17" s="3" t="inlineStr">
        <x:is>
          <x:t xml:space="preserve">Implement login, logout, refresh and session controls</x:t>
        </x:is>
      </x:c>
      <x:c r="E17" s="3" t="inlineStr">
        <x:is>
          <x:t xml:space="preserve">Use short-lived access tokens and rotated, hashed refresh tokens in secure HttpOnly cookies or approved session strategy.</x:t>
        </x:is>
      </x:c>
      <x:c r="F17" s="3" t="inlineStr">
        <x:is>
          <x:t xml:space="preserve">Refresh rotation/reuse detection and logout invalidation work; CSRF protections documented where cookie-based.</x:t>
        </x:is>
      </x:c>
      <x:c r="G17" s="7" t="inlineStr">
        <x:is>
          <x:t xml:space="preserve">P0</x:t>
        </x:is>
      </x:c>
      <x:c r="H17" s="3" t="inlineStr">
        <x:is>
          <x:t xml:space="preserve">Backend / Security</x:t>
        </x:is>
      </x:c>
      <x:c r="I17" s="3" t="n">
        <x:v>8</x:v>
      </x:c>
      <x:c r="J17" s="3" t="inlineStr">
        <x:is>
          <x:t xml:space="preserve">S1 security ADR</x:t>
        </x:is>
      </x:c>
      <x:c r="K17" s="3" t="inlineStr">
        <x:is>
          <x:t xml:space="preserve">Not Started</x:t>
        </x:is>
      </x:c>
      <x:c r="L17" s="3" t="inlineStr">
        <x:is>
          <x:t xml:space="preserve">Refine with PM; add implementation subtasks and test evidence.</x:t>
        </x:is>
      </x:c>
      <x:c r="M17" s="55" t="str">
        <x:v>ID-01–ID-05; ID-08</x:v>
      </x:c>
    </x:row>
    <x:row r="18" ht="58" customHeight="1">
      <x:c r="A18" s="3" t="inlineStr">
        <x:is>
          <x:t xml:space="preserve">ECOM-016</x:t>
        </x:is>
      </x:c>
      <x:c r="B18" s="3" t="inlineStr">
        <x:is>
          <x:t xml:space="preserve">S2</x:t>
        </x:is>
      </x:c>
      <x:c r="C18" s="3" t="inlineStr">
        <x:is>
          <x:t xml:space="preserve">Identity</x:t>
        </x:is>
      </x:c>
      <x:c r="D18" s="3" t="inlineStr">
        <x:is>
          <x:t xml:space="preserve">Implement password reset and password policy</x:t>
        </x:is>
      </x:c>
      <x:c r="E18" s="3" t="inlineStr">
        <x:is>
          <x:t xml:space="preserve">Issue one-time expiring reset token; apply agreed password policy and rate limits.</x:t>
        </x:is>
      </x:c>
      <x:c r="F18" s="3" t="inlineStr">
        <x:is>
          <x:t xml:space="preserve">Token is single-use; reset invalidates previous sessions as specified; responses do not disclose account existence.</x:t>
        </x:is>
      </x:c>
      <x:c r="G18" s="7" t="inlineStr">
        <x:is>
          <x:t xml:space="preserve">P0</x:t>
        </x:is>
      </x:c>
      <x:c r="H18" s="3" t="inlineStr">
        <x:is>
          <x:t xml:space="preserve">Backend</x:t>
        </x:is>
      </x:c>
      <x:c r="I18" s="3" t="n">
        <x:v>5</x:v>
      </x:c>
      <x:c r="J18" s="3" t="inlineStr">
        <x:is>
          <x:t xml:space="preserve">Registration/login</x:t>
        </x:is>
      </x:c>
      <x:c r="K18" s="3" t="inlineStr">
        <x:is>
          <x:t xml:space="preserve">Not Started</x:t>
        </x:is>
      </x:c>
      <x:c r="L18" s="3" t="inlineStr">
        <x:is>
          <x:t xml:space="preserve">Refine with PM; add implementation subtasks and test evidence.</x:t>
        </x:is>
      </x:c>
      <x:c r="M18" s="55" t="str">
        <x:v>ID-01–ID-05; ID-08</x:v>
      </x:c>
    </x:row>
    <x:row r="19" ht="58" customHeight="1">
      <x:c r="A19" s="3" t="inlineStr">
        <x:is>
          <x:t xml:space="preserve">ECOM-017</x:t>
        </x:is>
      </x:c>
      <x:c r="B19" s="3" t="inlineStr">
        <x:is>
          <x:t xml:space="preserve">S2</x:t>
        </x:is>
      </x:c>
      <x:c r="C19" s="3" t="inlineStr">
        <x:is>
          <x:t xml:space="preserve">Authorization</x:t>
        </x:is>
      </x:c>
      <x:c r="D19" s="3" t="inlineStr">
        <x:is>
          <x:t xml:space="preserve">Implement RBAC middleware and route policy</x:t>
        </x:is>
      </x:c>
      <x:c r="E19" s="3" t="inlineStr">
        <x:is>
          <x:t xml:space="preserve">Define customer, support, catalog manager, fulfilment operator, and admin roles with server-side authorization.</x:t>
        </x:is>
      </x:c>
      <x:c r="F19" s="3" t="inlineStr">
        <x:is>
          <x:t xml:space="preserve">Unauthorized requests return 401/403 appropriately; tests cover privilege escalation attempts.</x:t>
        </x:is>
      </x:c>
      <x:c r="G19" s="7" t="inlineStr">
        <x:is>
          <x:t xml:space="preserve">P0</x:t>
        </x:is>
      </x:c>
      <x:c r="H19" s="3" t="inlineStr">
        <x:is>
          <x:t xml:space="preserve">Backend / Security</x:t>
        </x:is>
      </x:c>
      <x:c r="I19" s="3" t="n">
        <x:v>5</x:v>
      </x:c>
      <x:c r="J19" s="3" t="inlineStr">
        <x:is>
          <x:t xml:space="preserve">None</x:t>
        </x:is>
      </x:c>
      <x:c r="K19" s="3" t="inlineStr">
        <x:is>
          <x:t xml:space="preserve">Not Started</x:t>
        </x:is>
      </x:c>
      <x:c r="L19" s="3" t="inlineStr">
        <x:is>
          <x:t xml:space="preserve">Refine with PM; add implementation subtasks and test evidence.</x:t>
        </x:is>
      </x:c>
      <x:c r="M19" s="55" t="str">
        <x:v>ID-07</x:v>
      </x:c>
    </x:row>
    <x:row r="20" ht="58" customHeight="1">
      <x:c r="A20" s="3" t="inlineStr">
        <x:is>
          <x:t xml:space="preserve">ECOM-018</x:t>
        </x:is>
      </x:c>
      <x:c r="B20" s="3" t="inlineStr">
        <x:is>
          <x:t xml:space="preserve">S2</x:t>
        </x:is>
      </x:c>
      <x:c r="C20" s="3" t="inlineStr">
        <x:is>
          <x:t xml:space="preserve">Validation</x:t>
        </x:is>
      </x:c>
      <x:c r="D20" s="3" t="inlineStr">
        <x:is>
          <x:t xml:space="preserve">Standardize Zod request validation and API errors</x:t>
        </x:is>
      </x:c>
      <x:c r="E20" s="3" t="inlineStr">
        <x:is>
          <x:t xml:space="preserve">Create shared schemas, request parsing, error codes, validation response structure and safe messages.</x:t>
        </x:is>
      </x:c>
      <x:c r="F20" s="3" t="inlineStr">
        <x:is>
          <x:t xml:space="preserve">Invalid payloads return stable 400 errors with field details; no unhandled validation exceptions.</x:t>
        </x:is>
      </x:c>
      <x:c r="G20" s="7" t="inlineStr">
        <x:is>
          <x:t xml:space="preserve">P0</x:t>
        </x:is>
      </x:c>
      <x:c r="H20" s="3" t="inlineStr">
        <x:is>
          <x:t xml:space="preserve">Backend</x:t>
        </x:is>
      </x:c>
      <x:c r="I20" s="3" t="n">
        <x:v>3</x:v>
      </x:c>
      <x:c r="J20" s="3" t="inlineStr">
        <x:is>
          <x:t xml:space="preserve">None</x:t>
        </x:is>
      </x:c>
      <x:c r="K20" s="3" t="inlineStr">
        <x:is>
          <x:t xml:space="preserve">Not Started</x:t>
        </x:is>
      </x:c>
      <x:c r="L20" s="3" t="inlineStr">
        <x:is>
          <x:t xml:space="preserve">Refine with PM; add implementation subtasks and test evidence.</x:t>
        </x:is>
      </x:c>
      <x:c r="M20" s="55" t="str">
        <x:v>PLAT-03</x:v>
      </x:c>
    </x:row>
    <x:row r="21" ht="58" customHeight="1">
      <x:c r="A21" s="3" t="inlineStr">
        <x:is>
          <x:t xml:space="preserve">ECOM-019</x:t>
        </x:is>
      </x:c>
      <x:c r="B21" s="3" t="inlineStr">
        <x:is>
          <x:t xml:space="preserve">S2</x:t>
        </x:is>
      </x:c>
      <x:c r="C21" s="3" t="inlineStr">
        <x:is>
          <x:t xml:space="preserve">Profile</x:t>
        </x:is>
      </x:c>
      <x:c r="D21" s="3" t="inlineStr">
        <x:is>
          <x:t xml:space="preserve">Create customer profile and address endpoints foundation</x:t>
        </x:is>
      </x:c>
      <x:c r="E21" s="3" t="inlineStr">
        <x:is>
          <x:t xml:space="preserve">Add profile read/update and address CRUD scaffolding with ownership checks.</x:t>
        </x:is>
      </x:c>
      <x:c r="F21" s="3" t="inlineStr">
        <x:is>
          <x:t xml:space="preserve">A user can only access their own profile/addresses; invalid fields rejected.</x:t>
        </x:is>
      </x:c>
      <x:c r="G21" s="7" t="inlineStr">
        <x:is>
          <x:t xml:space="preserve">P0</x:t>
        </x:is>
      </x:c>
      <x:c r="H21" s="3" t="inlineStr">
        <x:is>
          <x:t xml:space="preserve">Backend</x:t>
        </x:is>
      </x:c>
      <x:c r="I21" s="3" t="n">
        <x:v>3</x:v>
      </x:c>
      <x:c r="J21" s="3" t="inlineStr">
        <x:is>
          <x:t xml:space="preserve">None</x:t>
        </x:is>
      </x:c>
      <x:c r="K21" s="3" t="inlineStr">
        <x:is>
          <x:t xml:space="preserve">Not Started</x:t>
        </x:is>
      </x:c>
      <x:c r="L21" s="3" t="inlineStr">
        <x:is>
          <x:t xml:space="preserve">Refine with PM; add implementation subtasks and test evidence.</x:t>
        </x:is>
      </x:c>
      <x:c r="M21" s="55" t="str">
        <x:v>ID-06; CHK-01</x:v>
      </x:c>
    </x:row>
    <x:row r="22" ht="58" customHeight="1">
      <x:c r="A22" s="3" t="inlineStr">
        <x:is>
          <x:t xml:space="preserve">ECOM-020</x:t>
        </x:is>
      </x:c>
      <x:c r="B22" s="3" t="inlineStr">
        <x:is>
          <x:t xml:space="preserve">S3</x:t>
        </x:is>
      </x:c>
      <x:c r="C22" s="3" t="inlineStr">
        <x:is>
          <x:t xml:space="preserve">Catalog</x:t>
        </x:is>
      </x:c>
      <x:c r="D22" s="3" t="inlineStr">
        <x:is>
          <x:t xml:space="preserve">Implement category hierarchy and navigation API</x:t>
        </x:is>
      </x:c>
      <x:c r="E22" s="3" t="inlineStr">
        <x:is>
          <x:t xml:space="preserve">Support active categories, parent-child hierarchy, slug, order, and visibility.</x:t>
        </x:is>
      </x:c>
      <x:c r="F22" s="3" t="inlineStr">
        <x:is>
          <x:t xml:space="preserve">Hidden/inactive categories are excluded from customer APIs; cycles and invalid parents prevented.</x:t>
        </x:is>
      </x:c>
      <x:c r="G22" s="7" t="inlineStr">
        <x:is>
          <x:t xml:space="preserve">P0</x:t>
        </x:is>
      </x:c>
      <x:c r="H22" s="3" t="inlineStr">
        <x:is>
          <x:t xml:space="preserve">Backend</x:t>
        </x:is>
      </x:c>
      <x:c r="I22" s="3" t="n">
        <x:v>5</x:v>
      </x:c>
      <x:c r="J22" s="3" t="inlineStr">
        <x:is>
          <x:t xml:space="preserve">S1 ERD</x:t>
        </x:is>
      </x:c>
      <x:c r="K22" s="3" t="inlineStr">
        <x:is>
          <x:t xml:space="preserve">Not Started</x:t>
        </x:is>
      </x:c>
      <x:c r="L22" s="3" t="inlineStr">
        <x:is>
          <x:t xml:space="preserve">Refine with PM; add implementation subtasks and test evidence.</x:t>
        </x:is>
      </x:c>
      <x:c r="M22" s="55" t="str">
        <x:v>CAT-01–CAT-04</x:v>
      </x:c>
    </x:row>
    <x:row r="23" ht="58" customHeight="1">
      <x:c r="A23" s="3" t="inlineStr">
        <x:is>
          <x:t xml:space="preserve">ECOM-021</x:t>
        </x:is>
      </x:c>
      <x:c r="B23" s="3" t="inlineStr">
        <x:is>
          <x:t xml:space="preserve">S3</x:t>
        </x:is>
      </x:c>
      <x:c r="C23" s="3" t="inlineStr">
        <x:is>
          <x:t xml:space="preserve">Catalog</x:t>
        </x:is>
      </x:c>
      <x:c r="D23" s="3" t="inlineStr">
        <x:is>
          <x:t xml:space="preserve">Implement product/catalog schema and migrations</x:t>
        </x:is>
      </x:c>
      <x:c r="E23" s="3" t="inlineStr">
        <x:is>
          <x:t xml:space="preserve">Support title, slug, description, SKU variants, price, compare-at price, category, attributes, status, media, and SEO metadata.</x:t>
        </x:is>
      </x:c>
      <x:c r="F23" s="3" t="inlineStr">
        <x:is>
          <x:t xml:space="preserve">Constraints protect unique SKU/slug and valid price; migration and seed tests pass.</x:t>
        </x:is>
      </x:c>
      <x:c r="G23" s="7" t="inlineStr">
        <x:is>
          <x:t xml:space="preserve">P0</x:t>
        </x:is>
      </x:c>
      <x:c r="H23" s="3" t="inlineStr">
        <x:is>
          <x:t xml:space="preserve">Backend / Data</x:t>
        </x:is>
      </x:c>
      <x:c r="I23" s="3" t="n">
        <x:v>5</x:v>
      </x:c>
      <x:c r="J23" s="3" t="inlineStr">
        <x:is>
          <x:t xml:space="preserve">None</x:t>
        </x:is>
      </x:c>
      <x:c r="K23" s="3" t="inlineStr">
        <x:is>
          <x:t xml:space="preserve">Not Started</x:t>
        </x:is>
      </x:c>
      <x:c r="L23" s="3" t="inlineStr">
        <x:is>
          <x:t xml:space="preserve">Refine with PM; add implementation subtasks and test evidence.</x:t>
        </x:is>
      </x:c>
      <x:c r="M23" s="55" t="str">
        <x:v>CAT-01–CAT-04</x:v>
      </x:c>
    </x:row>
    <x:row r="24" ht="58" customHeight="1">
      <x:c r="A24" s="3" t="inlineStr">
        <x:is>
          <x:t xml:space="preserve">ECOM-022</x:t>
        </x:is>
      </x:c>
      <x:c r="B24" s="3" t="inlineStr">
        <x:is>
          <x:t xml:space="preserve">S3</x:t>
        </x:is>
      </x:c>
      <x:c r="C24" s="3" t="inlineStr">
        <x:is>
          <x:t xml:space="preserve">Catalog</x:t>
        </x:is>
      </x:c>
      <x:c r="D24" s="3" t="inlineStr">
        <x:is>
          <x:t xml:space="preserve">Implement product listing API with pagination and sorting</x:t>
        </x:is>
      </x:c>
      <x:c r="E24" s="3" t="inlineStr">
        <x:is>
          <x:t xml:space="preserve">Return published products with stable ordering and page/limit or cursor strategy.</x:t>
        </x:is>
      </x:c>
      <x:c r="F24" s="3" t="inlineStr">
        <x:is>
          <x:t xml:space="preserve">Pagination metadata consistent; invalid sorts are rejected; unpublished products never leak.</x:t>
        </x:is>
      </x:c>
      <x:c r="G24" s="7" t="inlineStr">
        <x:is>
          <x:t xml:space="preserve">P0</x:t>
        </x:is>
      </x:c>
      <x:c r="H24" s="3" t="inlineStr">
        <x:is>
          <x:t xml:space="preserve">Backend</x:t>
        </x:is>
      </x:c>
      <x:c r="I24" s="3" t="n">
        <x:v>5</x:v>
      </x:c>
      <x:c r="J24" s="3" t="inlineStr">
        <x:is>
          <x:t xml:space="preserve">None</x:t>
        </x:is>
      </x:c>
      <x:c r="K24" s="3" t="inlineStr">
        <x:is>
          <x:t xml:space="preserve">Not Started</x:t>
        </x:is>
      </x:c>
      <x:c r="L24" s="3" t="inlineStr">
        <x:is>
          <x:t xml:space="preserve">Refine with PM; add implementation subtasks and test evidence.</x:t>
        </x:is>
      </x:c>
      <x:c r="M24" s="55" t="str">
        <x:v>CAT-01–CAT-04</x:v>
      </x:c>
    </x:row>
    <x:row r="25" ht="58" customHeight="1">
      <x:c r="A25" s="3" t="inlineStr">
        <x:is>
          <x:t xml:space="preserve">ECOM-023</x:t>
        </x:is>
      </x:c>
      <x:c r="B25" s="3" t="inlineStr">
        <x:is>
          <x:t xml:space="preserve">S3</x:t>
        </x:is>
      </x:c>
      <x:c r="C25" s="3" t="inlineStr">
        <x:is>
          <x:t xml:space="preserve">Discovery</x:t>
        </x:is>
      </x:c>
      <x:c r="D25" s="3" t="inlineStr">
        <x:is>
          <x:t xml:space="preserve">Implement keyword search and filters v1</x:t>
        </x:is>
      </x:c>
      <x:c r="E25" s="3" t="inlineStr">
        <x:is>
          <x:t xml:space="preserve">Support product name/description keyword, category, price range, availability, and sort.</x:t>
        </x:is>
      </x:c>
      <x:c r="F25" s="3" t="inlineStr">
        <x:is>
          <x:t xml:space="preserve">Combined filters behave predictably; empty result state and invalid ranges covered.</x:t>
        </x:is>
      </x:c>
      <x:c r="G25" s="7" t="inlineStr">
        <x:is>
          <x:t xml:space="preserve">P0</x:t>
        </x:is>
      </x:c>
      <x:c r="H25" s="3" t="inlineStr">
        <x:is>
          <x:t xml:space="preserve">Backend</x:t>
        </x:is>
      </x:c>
      <x:c r="I25" s="3" t="n">
        <x:v>5</x:v>
      </x:c>
      <x:c r="J25" s="3" t="inlineStr">
        <x:is>
          <x:t xml:space="preserve">None</x:t>
        </x:is>
      </x:c>
      <x:c r="K25" s="3" t="inlineStr">
        <x:is>
          <x:t xml:space="preserve">Not Started</x:t>
        </x:is>
      </x:c>
      <x:c r="L25" s="3" t="inlineStr">
        <x:is>
          <x:t xml:space="preserve">Refine with PM; add implementation subtasks and test evidence.</x:t>
        </x:is>
      </x:c>
      <x:c r="M25" s="55" t="str">
        <x:v>CAT-07</x:v>
      </x:c>
    </x:row>
    <x:row r="26" ht="58" customHeight="1">
      <x:c r="A26" s="3" t="inlineStr">
        <x:is>
          <x:t xml:space="preserve">ECOM-024</x:t>
        </x:is>
      </x:c>
      <x:c r="B26" s="3" t="inlineStr">
        <x:is>
          <x:t xml:space="preserve">S3</x:t>
        </x:is>
      </x:c>
      <x:c r="C26" s="3" t="inlineStr">
        <x:is>
          <x:t xml:space="preserve">Frontend Catalog</x:t>
        </x:is>
      </x:c>
      <x:c r="D26" s="3" t="inlineStr">
        <x:is>
          <x:t xml:space="preserve">Build category, listing, sort and filter UI</x:t>
        </x:is>
      </x:c>
      <x:c r="E26" s="3" t="inlineStr">
        <x:is>
          <x:t xml:space="preserve">Connect listing routes to APIs and maintain shareable filter state in URL.</x:t>
        </x:is>
      </x:c>
      <x:c r="F26" s="3" t="inlineStr">
        <x:is>
          <x:t xml:space="preserve">Refresh/back/forward preserves filter state; mobile filters remain usable; loading/empty/error states exist.</x:t>
        </x:is>
      </x:c>
      <x:c r="G26" s="7" t="inlineStr">
        <x:is>
          <x:t xml:space="preserve">P0</x:t>
        </x:is>
      </x:c>
      <x:c r="H26" s="3" t="inlineStr">
        <x:is>
          <x:t xml:space="preserve">Frontend</x:t>
        </x:is>
      </x:c>
      <x:c r="I26" s="3" t="n">
        <x:v>8</x:v>
      </x:c>
      <x:c r="J26" s="3" t="inlineStr">
        <x:is>
          <x:t xml:space="preserve">None</x:t>
        </x:is>
      </x:c>
      <x:c r="K26" s="3" t="inlineStr">
        <x:is>
          <x:t xml:space="preserve">Not Started</x:t>
        </x:is>
      </x:c>
      <x:c r="L26" s="3" t="inlineStr">
        <x:is>
          <x:t xml:space="preserve">Refine with PM; add implementation subtasks and test evidence.</x:t>
        </x:is>
      </x:c>
      <x:c r="M26" s="55" t="str">
        <x:v>CAT-01–CAT-04</x:v>
      </x:c>
    </x:row>
    <x:row r="27" ht="58" customHeight="1">
      <x:c r="A27" s="3" t="inlineStr">
        <x:is>
          <x:t xml:space="preserve">ECOM-025</x:t>
        </x:is>
      </x:c>
      <x:c r="B27" s="3" t="inlineStr">
        <x:is>
          <x:t xml:space="preserve">S3</x:t>
        </x:is>
      </x:c>
      <x:c r="C27" s="3" t="inlineStr">
        <x:is>
          <x:t xml:space="preserve">Admin Catalog</x:t>
        </x:is>
      </x:c>
      <x:c r="D27" s="3" t="inlineStr">
        <x:is>
          <x:t xml:space="preserve">Implement admin product CRUD v1</x:t>
        </x:is>
      </x:c>
      <x:c r="E27" s="3" t="inlineStr">
        <x:is>
          <x:t xml:space="preserve">Provide role-gated create/update/archive product flows and field validation.</x:t>
        </x:is>
      </x:c>
      <x:c r="F27" s="3" t="inlineStr">
        <x:is>
          <x:t xml:space="preserve">Only catalog roles can edit; required fields enforced; product status controls customer visibility.</x:t>
        </x:is>
      </x:c>
      <x:c r="G27" s="7" t="inlineStr">
        <x:is>
          <x:t xml:space="preserve">P0</x:t>
        </x:is>
      </x:c>
      <x:c r="H27" s="3" t="inlineStr">
        <x:is>
          <x:t xml:space="preserve">Full-stack</x:t>
        </x:is>
      </x:c>
      <x:c r="I27" s="3" t="n">
        <x:v>8</x:v>
      </x:c>
      <x:c r="J27" s="3" t="inlineStr">
        <x:is>
          <x:t xml:space="preserve">S2 RBAC</x:t>
        </x:is>
      </x:c>
      <x:c r="K27" s="3" t="inlineStr">
        <x:is>
          <x:t xml:space="preserve">Not Started</x:t>
        </x:is>
      </x:c>
      <x:c r="L27" s="3" t="inlineStr">
        <x:is>
          <x:t xml:space="preserve">Refine with PM; add implementation subtasks and test evidence.</x:t>
        </x:is>
      </x:c>
      <x:c r="M27" s="55" t="str">
        <x:v>CAT-02; ADM-02</x:v>
      </x:c>
    </x:row>
    <x:row r="28" ht="58" customHeight="1">
      <x:c r="A28" s="3" t="inlineStr">
        <x:is>
          <x:t xml:space="preserve">ECOM-026</x:t>
        </x:is>
      </x:c>
      <x:c r="B28" s="3" t="inlineStr">
        <x:is>
          <x:t xml:space="preserve">S3</x:t>
        </x:is>
      </x:c>
      <x:c r="C28" s="3" t="inlineStr">
        <x:is>
          <x:t xml:space="preserve">Content</x:t>
        </x:is>
      </x:c>
      <x:c r="D28" s="3" t="inlineStr">
        <x:is>
          <x:t xml:space="preserve">Create seed data and local catalog fixtures</x:t>
        </x:is>
      </x:c>
      <x:c r="E28" s="3" t="inlineStr">
        <x:is>
          <x:t xml:space="preserve">Create realistic non-production products/categories/images to support demos and repeatable tests.</x:t>
        </x:is>
      </x:c>
      <x:c r="F28" s="3" t="inlineStr">
        <x:is>
          <x:t xml:space="preserve">Seed is idempotent and never loads demo data into production by default.</x:t>
        </x:is>
      </x:c>
      <x:c r="G28" s="7" t="inlineStr">
        <x:is>
          <x:t xml:space="preserve">P0</x:t>
        </x:is>
      </x:c>
      <x:c r="H28" s="3" t="inlineStr">
        <x:is>
          <x:t xml:space="preserve">Backend / QA</x:t>
        </x:is>
      </x:c>
      <x:c r="I28" s="3" t="n">
        <x:v>3</x:v>
      </x:c>
      <x:c r="J28" s="3" t="inlineStr">
        <x:is>
          <x:t xml:space="preserve">None</x:t>
        </x:is>
      </x:c>
      <x:c r="K28" s="3" t="inlineStr">
        <x:is>
          <x:t xml:space="preserve">Not Started</x:t>
        </x:is>
      </x:c>
      <x:c r="L28" s="3" t="inlineStr">
        <x:is>
          <x:t xml:space="preserve">Refine with PM; add implementation subtasks and test evidence.</x:t>
        </x:is>
      </x:c>
      <x:c r="M28" s="55" t="str">
        <x:v>CNT-01</x:v>
      </x:c>
    </x:row>
    <x:row r="29" ht="58" customHeight="1">
      <x:c r="A29" s="3" t="inlineStr">
        <x:is>
          <x:t xml:space="preserve">ECOM-027</x:t>
        </x:is>
      </x:c>
      <x:c r="B29" s="3" t="inlineStr">
        <x:is>
          <x:t xml:space="preserve">S4</x:t>
        </x:is>
      </x:c>
      <x:c r="C29" s="3" t="inlineStr">
        <x:is>
          <x:t xml:space="preserve">Product Detail</x:t>
        </x:is>
      </x:c>
      <x:c r="D29" s="3" t="inlineStr">
        <x:is>
          <x:t xml:space="preserve">Build product detail page and variant selector</x:t>
        </x:is>
      </x:c>
      <x:c r="E29" s="3" t="inlineStr">
        <x:is>
          <x:t xml:space="preserve">Display imagery, description, attributes, price, availability, variant/SKU and quantity.</x:t>
        </x:is>
      </x:c>
      <x:c r="F29" s="3" t="inlineStr">
        <x:is>
          <x:t xml:space="preserve">Changing variant updates price/SKU/stock; unavailable variants cannot be added to cart.</x:t>
        </x:is>
      </x:c>
      <x:c r="G29" s="7" t="inlineStr">
        <x:is>
          <x:t xml:space="preserve">P0</x:t>
        </x:is>
      </x:c>
      <x:c r="H29" s="3" t="inlineStr">
        <x:is>
          <x:t xml:space="preserve">Frontend</x:t>
        </x:is>
      </x:c>
      <x:c r="I29" s="3" t="n">
        <x:v>8</x:v>
      </x:c>
      <x:c r="J29" s="3" t="inlineStr">
        <x:is>
          <x:t xml:space="preserve">S3 catalog API</x:t>
        </x:is>
      </x:c>
      <x:c r="K29" s="3" t="inlineStr">
        <x:is>
          <x:t xml:space="preserve">Not Started</x:t>
        </x:is>
      </x:c>
      <x:c r="L29" s="3" t="inlineStr">
        <x:is>
          <x:t xml:space="preserve">Refine with PM; add implementation subtasks and test evidence.</x:t>
        </x:is>
      </x:c>
      <x:c r="M29" s="55" t="str">
        <x:v>CAT-05</x:v>
      </x:c>
    </x:row>
    <x:row r="30" ht="58" customHeight="1">
      <x:c r="A30" s="3" t="inlineStr">
        <x:is>
          <x:t xml:space="preserve">ECOM-028</x:t>
        </x:is>
      </x:c>
      <x:c r="B30" s="3" t="inlineStr">
        <x:is>
          <x:t xml:space="preserve">S4</x:t>
        </x:is>
      </x:c>
      <x:c r="C30" s="3" t="inlineStr">
        <x:is>
          <x:t xml:space="preserve">Media</x:t>
        </x:is>
      </x:c>
      <x:c r="D30" s="3" t="inlineStr">
        <x:is>
          <x:t xml:space="preserve">Implement secure product media upload</x:t>
        </x:is>
      </x:c>
      <x:c r="E30" s="3" t="inlineStr">
        <x:is>
          <x:t xml:space="preserve">Use pre-signed S3 uploads or approved upload service, validate type/size, and serve via CDN.</x:t>
        </x:is>
      </x:c>
      <x:c r="F30" s="3" t="inlineStr">
        <x:is>
          <x:t xml:space="preserve">Only authorized staff upload; unsupported files rejected; assets are not publicly writable.</x:t>
        </x:is>
      </x:c>
      <x:c r="G30" s="7" t="inlineStr">
        <x:is>
          <x:t xml:space="preserve">P0</x:t>
        </x:is>
      </x:c>
      <x:c r="H30" s="3" t="inlineStr">
        <x:is>
          <x:t xml:space="preserve">Backend / Cloud</x:t>
        </x:is>
      </x:c>
      <x:c r="I30" s="3" t="n">
        <x:v>5</x:v>
      </x:c>
      <x:c r="J30" s="3" t="inlineStr">
        <x:is>
          <x:t xml:space="preserve">None</x:t>
        </x:is>
      </x:c>
      <x:c r="K30" s="3" t="inlineStr">
        <x:is>
          <x:t xml:space="preserve">Not Started</x:t>
        </x:is>
      </x:c>
      <x:c r="L30" s="3" t="inlineStr">
        <x:is>
          <x:t xml:space="preserve">Refine with PM; add implementation subtasks and test evidence.</x:t>
        </x:is>
      </x:c>
      <x:c r="M30" s="55" t="str">
        <x:v>CAT-06</x:v>
      </x:c>
    </x:row>
    <x:row r="31" ht="58" customHeight="1">
      <x:c r="A31" s="3" t="inlineStr">
        <x:is>
          <x:t xml:space="preserve">ECOM-029</x:t>
        </x:is>
      </x:c>
      <x:c r="B31" s="3" t="inlineStr">
        <x:is>
          <x:t xml:space="preserve">S4</x:t>
        </x:is>
      </x:c>
      <x:c r="C31" s="3" t="inlineStr">
        <x:is>
          <x:t xml:space="preserve">Inventory</x:t>
        </x:is>
      </x:c>
      <x:c r="D31" s="3" t="inlineStr">
        <x:is>
          <x:t xml:space="preserve">Implement inventory read and adjustment model</x:t>
        </x:is>
      </x:c>
      <x:c r="E31" s="3" t="inlineStr">
        <x:is>
          <x:t xml:space="preserve">Track available/reserved/committed stock by SKU; restrict adjustments to authorized roles.</x:t>
        </x:is>
      </x:c>
      <x:c r="F31" s="3" t="inlineStr">
        <x:is>
          <x:t xml:space="preserve">Stock cannot become negative through normal operations; adjustments are auditable.</x:t>
        </x:is>
      </x:c>
      <x:c r="G31" s="7" t="inlineStr">
        <x:is>
          <x:t xml:space="preserve">P0</x:t>
        </x:is>
      </x:c>
      <x:c r="H31" s="3" t="inlineStr">
        <x:is>
          <x:t xml:space="preserve">Backend / Data</x:t>
        </x:is>
      </x:c>
      <x:c r="I31" s="3" t="n">
        <x:v>8</x:v>
      </x:c>
      <x:c r="J31" s="3" t="inlineStr">
        <x:is>
          <x:t xml:space="preserve">None</x:t>
        </x:is>
      </x:c>
      <x:c r="K31" s="3" t="inlineStr">
        <x:is>
          <x:t xml:space="preserve">Not Started</x:t>
        </x:is>
      </x:c>
      <x:c r="L31" s="3" t="inlineStr">
        <x:is>
          <x:t xml:space="preserve">Refine with PM; add implementation subtasks and test evidence.</x:t>
        </x:is>
      </x:c>
      <x:c r="M31" s="55" t="str">
        <x:v>ADM-03; CHK-05</x:v>
      </x:c>
    </x:row>
    <x:row r="32" ht="58" customHeight="1">
      <x:c r="A32" s="3" t="inlineStr">
        <x:is>
          <x:t xml:space="preserve">ECOM-030</x:t>
        </x:is>
      </x:c>
      <x:c r="B32" s="3" t="inlineStr">
        <x:is>
          <x:t xml:space="preserve">S4</x:t>
        </x:is>
      </x:c>
      <x:c r="C32" s="3" t="inlineStr">
        <x:is>
          <x:t xml:space="preserve">Admin Inventory</x:t>
        </x:is>
      </x:c>
      <x:c r="D32" s="3" t="inlineStr">
        <x:is>
          <x:t xml:space="preserve">Build SKU/stock admin UI</x:t>
        </x:is>
      </x:c>
      <x:c r="E32" s="3" t="inlineStr">
        <x:is>
          <x:t xml:space="preserve">Allow inventory lookup, adjustment reason, and low-stock view.</x:t>
        </x:is>
      </x:c>
      <x:c r="F32" s="3" t="inlineStr">
        <x:is>
          <x:t xml:space="preserve">Unauthorized roles blocked; adjustment includes actor, timestamp, reason, and SKU.</x:t>
        </x:is>
      </x:c>
      <x:c r="G32" s="7" t="inlineStr">
        <x:is>
          <x:t xml:space="preserve">P0</x:t>
        </x:is>
      </x:c>
      <x:c r="H32" s="3" t="inlineStr">
        <x:is>
          <x:t xml:space="preserve">Full-stack</x:t>
        </x:is>
      </x:c>
      <x:c r="I32" s="3" t="n">
        <x:v>5</x:v>
      </x:c>
      <x:c r="J32" s="3" t="inlineStr">
        <x:is>
          <x:t xml:space="preserve">Inventory API</x:t>
        </x:is>
      </x:c>
      <x:c r="K32" s="3" t="inlineStr">
        <x:is>
          <x:t xml:space="preserve">Not Started</x:t>
        </x:is>
      </x:c>
      <x:c r="L32" s="3" t="inlineStr">
        <x:is>
          <x:t xml:space="preserve">Refine with PM; add implementation subtasks and test evidence.</x:t>
        </x:is>
      </x:c>
      <x:c r="M32" s="55" t="str">
        <x:v>ADM-03; CHK-05</x:v>
      </x:c>
    </x:row>
    <x:row r="33" ht="58" customHeight="1">
      <x:c r="A33" s="3" t="inlineStr">
        <x:is>
          <x:t xml:space="preserve">ECOM-031</x:t>
        </x:is>
      </x:c>
      <x:c r="B33" s="3" t="inlineStr">
        <x:is>
          <x:t xml:space="preserve">S4</x:t>
        </x:is>
      </x:c>
      <x:c r="C33" s="3" t="inlineStr">
        <x:is>
          <x:t xml:space="preserve">SEO</x:t>
        </x:is>
      </x:c>
      <x:c r="D33" s="3" t="inlineStr">
        <x:is>
          <x:t xml:space="preserve">Implement product/category metadata and canonical links</x:t>
        </x:is>
      </x:c>
      <x:c r="E33" s="3" t="inlineStr">
        <x:is>
          <x:t xml:space="preserve">Generate title, description, canonical URLs, robots directives and product structured data where appropriate.</x:t>
        </x:is>
      </x:c>
      <x:c r="F33" s="3" t="inlineStr">
        <x:is>
          <x:t xml:space="preserve">Published product pages have unique metadata; hidden/draft pages are not indexable.</x:t>
        </x:is>
      </x:c>
      <x:c r="G33" s="7" t="inlineStr">
        <x:is>
          <x:t xml:space="preserve">P0</x:t>
        </x:is>
      </x:c>
      <x:c r="H33" s="3" t="inlineStr">
        <x:is>
          <x:t xml:space="preserve">Frontend</x:t>
        </x:is>
      </x:c>
      <x:c r="I33" s="3" t="n">
        <x:v>5</x:v>
      </x:c>
      <x:c r="J33" s="3" t="inlineStr">
        <x:is>
          <x:t xml:space="preserve">None</x:t>
        </x:is>
      </x:c>
      <x:c r="K33" s="3" t="inlineStr">
        <x:is>
          <x:t xml:space="preserve">Not Started</x:t>
        </x:is>
      </x:c>
      <x:c r="L33" s="3" t="inlineStr">
        <x:is>
          <x:t xml:space="preserve">Refine with PM; add implementation subtasks and test evidence.</x:t>
        </x:is>
      </x:c>
      <x:c r="M33" s="55" t="str">
        <x:v>CAT-08; NFR-SEO</x:v>
      </x:c>
    </x:row>
    <x:row r="34" ht="58" customHeight="1">
      <x:c r="A34" s="3" t="inlineStr">
        <x:is>
          <x:t xml:space="preserve">ECOM-032</x:t>
        </x:is>
      </x:c>
      <x:c r="B34" s="3" t="inlineStr">
        <x:is>
          <x:t xml:space="preserve">S4</x:t>
        </x:is>
      </x:c>
      <x:c r="C34" s="3" t="inlineStr">
        <x:is>
          <x:t xml:space="preserve">Recommendations</x:t>
        </x:is>
      </x:c>
      <x:c r="D34" s="3" t="inlineStr">
        <x:is>
          <x:t xml:space="preserve">Add related products v1</x:t>
        </x:is>
      </x:c>
      <x:c r="E34" s="3" t="inlineStr">
        <x:is>
          <x:t xml:space="preserve">Show curated or same-category items without blocking primary product rendering.</x:t>
        </x:is>
      </x:c>
      <x:c r="F34" s="3" t="inlineStr">
        <x:is>
          <x:t xml:space="preserve">Missing recommendations gracefully hide the module; no broken product links.</x:t>
        </x:is>
      </x:c>
      <x:c r="G34" s="3" t="inlineStr">
        <x:is>
          <x:t xml:space="preserve">P1</x:t>
        </x:is>
      </x:c>
      <x:c r="H34" s="3" t="inlineStr">
        <x:is>
          <x:t xml:space="preserve">Frontend / Backend</x:t>
        </x:is>
      </x:c>
      <x:c r="I34" s="3" t="n">
        <x:v>3</x:v>
      </x:c>
      <x:c r="J34" s="3" t="inlineStr">
        <x:is>
          <x:t xml:space="preserve">None</x:t>
        </x:is>
      </x:c>
      <x:c r="K34" s="3" t="inlineStr">
        <x:is>
          <x:t xml:space="preserve">Not Started</x:t>
        </x:is>
      </x:c>
      <x:c r="L34" s="3" t="inlineStr">
        <x:is>
          <x:t xml:space="preserve">Refine with PM; add implementation subtasks and test evidence.</x:t>
        </x:is>
      </x:c>
      <x:c r="M34" s="55" t="str">
        <x:v>CAT-09</x:v>
      </x:c>
    </x:row>
    <x:row r="35" ht="58" customHeight="1">
      <x:c r="A35" s="3" t="inlineStr">
        <x:is>
          <x:t xml:space="preserve">ECOM-033</x:t>
        </x:is>
      </x:c>
      <x:c r="B35" s="3" t="inlineStr">
        <x:is>
          <x:t xml:space="preserve">S5</x:t>
        </x:is>
      </x:c>
      <x:c r="C35" s="3" t="inlineStr">
        <x:is>
          <x:t xml:space="preserve">Cart</x:t>
        </x:is>
      </x:c>
      <x:c r="D35" s="3" t="inlineStr">
        <x:is>
          <x:t xml:space="preserve">Implement persistent guest and customer cart</x:t>
        </x:is>
      </x:c>
      <x:c r="E35" s="3" t="inlineStr">
        <x:is>
          <x:t xml:space="preserve">Support add/update/remove cart line items and persistence; merge guest cart on login.</x:t>
        </x:is>
      </x:c>
      <x:c r="F35" s="3" t="inlineStr">
        <x:is>
          <x:t xml:space="preserve">Server recalculates product prices/availability; duplicate lines are consolidated; merge conflicts have deterministic rules.</x:t>
        </x:is>
      </x:c>
      <x:c r="G35" s="7" t="inlineStr">
        <x:is>
          <x:t xml:space="preserve">P0</x:t>
        </x:is>
      </x:c>
      <x:c r="H35" s="3" t="inlineStr">
        <x:is>
          <x:t xml:space="preserve">Backend</x:t>
        </x:is>
      </x:c>
      <x:c r="I35" s="3" t="n">
        <x:v>8</x:v>
      </x:c>
      <x:c r="J35" s="3" t="inlineStr">
        <x:is>
          <x:t xml:space="preserve">S3/S4 catalog and inventory</x:t>
        </x:is>
      </x:c>
      <x:c r="K35" s="3" t="inlineStr">
        <x:is>
          <x:t xml:space="preserve">Not Started</x:t>
        </x:is>
      </x:c>
      <x:c r="L35" s="3" t="inlineStr">
        <x:is>
          <x:t xml:space="preserve">Refine with PM; add implementation subtasks and test evidence.</x:t>
        </x:is>
      </x:c>
      <x:c r="M35" s="55" t="str">
        <x:v>CART-01–CART-04</x:v>
      </x:c>
    </x:row>
    <x:row r="36" ht="58" customHeight="1">
      <x:c r="A36" s="3" t="inlineStr">
        <x:is>
          <x:t xml:space="preserve">ECOM-034</x:t>
        </x:is>
      </x:c>
      <x:c r="B36" s="3" t="inlineStr">
        <x:is>
          <x:t xml:space="preserve">S5</x:t>
        </x:is>
      </x:c>
      <x:c r="C36" s="3" t="inlineStr">
        <x:is>
          <x:t xml:space="preserve">Cart UI</x:t>
        </x:is>
      </x:c>
      <x:c r="D36" s="3" t="inlineStr">
        <x:is>
          <x:t xml:space="preserve">Build cart drawer/page and quantity controls</x:t>
        </x:is>
      </x:c>
      <x:c r="E36" s="3" t="inlineStr">
        <x:is>
          <x:t xml:space="preserve">Show line items, stock messages, subtotal, savings and empty/error states.</x:t>
        </x:is>
      </x:c>
      <x:c r="F36" s="3" t="inlineStr">
        <x:is>
          <x:t xml:space="preserve">Every mutation updates server state; quantity cannot exceed allowed stock; screen-reader status is announced.</x:t>
        </x:is>
      </x:c>
      <x:c r="G36" s="7" t="inlineStr">
        <x:is>
          <x:t xml:space="preserve">P0</x:t>
        </x:is>
      </x:c>
      <x:c r="H36" s="3" t="inlineStr">
        <x:is>
          <x:t xml:space="preserve">Frontend</x:t>
        </x:is>
      </x:c>
      <x:c r="I36" s="3" t="n">
        <x:v>5</x:v>
      </x:c>
      <x:c r="J36" s="3" t="inlineStr">
        <x:is>
          <x:t xml:space="preserve">None</x:t>
        </x:is>
      </x:c>
      <x:c r="K36" s="3" t="inlineStr">
        <x:is>
          <x:t xml:space="preserve">Not Started</x:t>
        </x:is>
      </x:c>
      <x:c r="L36" s="3" t="inlineStr">
        <x:is>
          <x:t xml:space="preserve">Refine with PM; add implementation subtasks and test evidence.</x:t>
        </x:is>
      </x:c>
      <x:c r="M36" s="55" t="str">
        <x:v>CART-01–CART-04</x:v>
      </x:c>
    </x:row>
    <x:row r="37" ht="58" customHeight="1">
      <x:c r="A37" s="3" t="inlineStr">
        <x:is>
          <x:t xml:space="preserve">ECOM-035</x:t>
        </x:is>
      </x:c>
      <x:c r="B37" s="3" t="inlineStr">
        <x:is>
          <x:t xml:space="preserve">S5</x:t>
        </x:is>
      </x:c>
      <x:c r="C37" s="3" t="inlineStr">
        <x:is>
          <x:t xml:space="preserve">Wishlist</x:t>
        </x:is>
      </x:c>
      <x:c r="D37" s="3" t="inlineStr">
        <x:is>
          <x:t xml:space="preserve">Implement customer wishlist</x:t>
        </x:is>
      </x:c>
      <x:c r="E37" s="3" t="inlineStr">
        <x:is>
          <x:t xml:space="preserve">Add/remove product or variant to wishlist; allow moving available item to cart.</x:t>
        </x:is>
      </x:c>
      <x:c r="F37" s="3" t="inlineStr">
        <x:is>
          <x:t xml:space="preserve">Wishlist is private to customer; unavailable products remain clear and cannot be purchased.</x:t>
        </x:is>
      </x:c>
      <x:c r="G37" s="3" t="inlineStr">
        <x:is>
          <x:t xml:space="preserve">P1</x:t>
        </x:is>
      </x:c>
      <x:c r="H37" s="3" t="inlineStr">
        <x:is>
          <x:t xml:space="preserve">Full-stack</x:t>
        </x:is>
      </x:c>
      <x:c r="I37" s="3" t="n">
        <x:v>5</x:v>
      </x:c>
      <x:c r="J37" s="3" t="inlineStr">
        <x:is>
          <x:t xml:space="preserve">S2 identity</x:t>
        </x:is>
      </x:c>
      <x:c r="K37" s="3" t="inlineStr">
        <x:is>
          <x:t xml:space="preserve">Not Started</x:t>
        </x:is>
      </x:c>
      <x:c r="L37" s="3" t="inlineStr">
        <x:is>
          <x:t xml:space="preserve">Refine with PM; add implementation subtasks and test evidence.</x:t>
        </x:is>
      </x:c>
      <x:c r="M37" s="55" t="str">
        <x:v>CART-06</x:v>
      </x:c>
    </x:row>
    <x:row r="38" ht="58" customHeight="1">
      <x:c r="A38" s="3" t="inlineStr">
        <x:is>
          <x:t xml:space="preserve">ECOM-036</x:t>
        </x:is>
      </x:c>
      <x:c r="B38" s="3" t="inlineStr">
        <x:is>
          <x:t xml:space="preserve">S5</x:t>
        </x:is>
      </x:c>
      <x:c r="C38" s="3" t="inlineStr">
        <x:is>
          <x:t xml:space="preserve">Pricing</x:t>
        </x:is>
      </x:c>
      <x:c r="D38" s="3" t="inlineStr">
        <x:is>
          <x:t xml:space="preserve">Create centralized pricing calculation module</x:t>
        </x:is>
      </x:c>
      <x:c r="E38" s="3" t="inlineStr">
        <x:is>
          <x:t xml:space="preserve">Calculate line totals, subtotal, discounts and final amount with integer minor-unit money representation.</x:t>
        </x:is>
      </x:c>
      <x:c r="F38" s="3" t="inlineStr">
        <x:is>
          <x:t xml:space="preserve">No client-supplied amount is trusted; rounding and currency precision rules are documented and tested.</x:t>
        </x:is>
      </x:c>
      <x:c r="G38" s="7" t="inlineStr">
        <x:is>
          <x:t xml:space="preserve">P0</x:t>
        </x:is>
      </x:c>
      <x:c r="H38" s="3" t="inlineStr">
        <x:is>
          <x:t xml:space="preserve">Backend</x:t>
        </x:is>
      </x:c>
      <x:c r="I38" s="3" t="n">
        <x:v>8</x:v>
      </x:c>
      <x:c r="J38" s="3" t="inlineStr">
        <x:is>
          <x:t xml:space="preserve">None</x:t>
        </x:is>
      </x:c>
      <x:c r="K38" s="3" t="inlineStr">
        <x:is>
          <x:t xml:space="preserve">Not Started</x:t>
        </x:is>
      </x:c>
      <x:c r="L38" s="3" t="inlineStr">
        <x:is>
          <x:t xml:space="preserve">Refine with PM; add implementation subtasks and test evidence.</x:t>
        </x:is>
      </x:c>
      <x:c r="M38" s="55" t="str">
        <x:v>CART-03</x:v>
      </x:c>
    </x:row>
    <x:row r="39" ht="58" customHeight="1">
      <x:c r="A39" s="3" t="inlineStr">
        <x:is>
          <x:t xml:space="preserve">ECOM-037</x:t>
        </x:is>
      </x:c>
      <x:c r="B39" s="3" t="inlineStr">
        <x:is>
          <x:t xml:space="preserve">S5</x:t>
        </x:is>
      </x:c>
      <x:c r="C39" s="3" t="inlineStr">
        <x:is>
          <x:t xml:space="preserve">Promotions</x:t>
        </x:is>
      </x:c>
      <x:c r="D39" s="3" t="inlineStr">
        <x:is>
          <x:t xml:space="preserve">Implement coupon model and validation</x:t>
        </x:is>
      </x:c>
      <x:c r="E39" s="3" t="inlineStr">
        <x:is>
          <x:t xml:space="preserve">Support fixed/percentage discount, active dates, usage limit, minimum basket, product/category eligibility and one-code policy.</x:t>
        </x:is>
      </x:c>
      <x:c r="F39" s="3" t="inlineStr">
        <x:is>
          <x:t xml:space="preserve">Expired/ineligible/exhausted coupons fail safely; concurrency does not exceed usage limits.</x:t>
        </x:is>
      </x:c>
      <x:c r="G39" s="7" t="inlineStr">
        <x:is>
          <x:t xml:space="preserve">P0</x:t>
        </x:is>
      </x:c>
      <x:c r="H39" s="3" t="inlineStr">
        <x:is>
          <x:t xml:space="preserve">Backend</x:t>
        </x:is>
      </x:c>
      <x:c r="I39" s="3" t="n">
        <x:v>5</x:v>
      </x:c>
      <x:c r="J39" s="3" t="inlineStr">
        <x:is>
          <x:t xml:space="preserve">None</x:t>
        </x:is>
      </x:c>
      <x:c r="K39" s="3" t="inlineStr">
        <x:is>
          <x:t xml:space="preserve">Not Started</x:t>
        </x:is>
      </x:c>
      <x:c r="L39" s="3" t="inlineStr">
        <x:is>
          <x:t xml:space="preserve">Refine with PM; add implementation subtasks and test evidence.</x:t>
        </x:is>
      </x:c>
      <x:c r="M39" s="55" t="str">
        <x:v>CART-05; ADM-04</x:v>
      </x:c>
    </x:row>
    <x:row r="40" ht="58" customHeight="1">
      <x:c r="A40" s="3" t="inlineStr">
        <x:is>
          <x:t xml:space="preserve">ECOM-038</x:t>
        </x:is>
      </x:c>
      <x:c r="B40" s="3" t="inlineStr">
        <x:is>
          <x:t xml:space="preserve">S5</x:t>
        </x:is>
      </x:c>
      <x:c r="C40" s="3" t="inlineStr">
        <x:is>
          <x:t xml:space="preserve">UX</x:t>
        </x:is>
      </x:c>
      <x:c r="D40" s="3" t="inlineStr">
        <x:is>
          <x:t xml:space="preserve">Create coupon apply/remove and totals summary UI</x:t>
        </x:is>
      </x:c>
      <x:c r="E40" s="3" t="inlineStr">
        <x:is>
          <x:t xml:space="preserve">Allow entering a coupon and explain success/failure without losing cart state.</x:t>
        </x:is>
      </x:c>
      <x:c r="F40" s="3" t="inlineStr">
        <x:is>
          <x:t xml:space="preserve">Totals match backend response; failures are actionable and not misleading.</x:t>
        </x:is>
      </x:c>
      <x:c r="G40" s="7" t="inlineStr">
        <x:is>
          <x:t xml:space="preserve">P0</x:t>
        </x:is>
      </x:c>
      <x:c r="H40" s="3" t="inlineStr">
        <x:is>
          <x:t xml:space="preserve">Frontend</x:t>
        </x:is>
      </x:c>
      <x:c r="I40" s="3" t="n">
        <x:v>3</x:v>
      </x:c>
      <x:c r="J40" s="3" t="inlineStr">
        <x:is>
          <x:t xml:space="preserve">None</x:t>
        </x:is>
      </x:c>
      <x:c r="K40" s="3" t="inlineStr">
        <x:is>
          <x:t xml:space="preserve">Not Started</x:t>
        </x:is>
      </x:c>
      <x:c r="L40" s="3" t="inlineStr">
        <x:is>
          <x:t xml:space="preserve">Refine with PM; add implementation subtasks and test evidence.</x:t>
        </x:is>
      </x:c>
      <x:c r="M40" s="55" t="str">
        <x:v>Scope; Architecture; NFRs</x:v>
      </x:c>
    </x:row>
    <x:row r="41" ht="58" customHeight="1">
      <x:c r="A41" s="3" t="inlineStr">
        <x:is>
          <x:t xml:space="preserve">ECOM-039</x:t>
        </x:is>
      </x:c>
      <x:c r="B41" s="3" t="inlineStr">
        <x:is>
          <x:t xml:space="preserve">S6</x:t>
        </x:is>
      </x:c>
      <x:c r="C41" s="3" t="inlineStr">
        <x:is>
          <x:t xml:space="preserve">Checkout</x:t>
        </x:is>
      </x:c>
      <x:c r="D41" s="3" t="inlineStr">
        <x:is>
          <x:t xml:space="preserve">Build address book and checkout address selection</x:t>
        </x:is>
      </x:c>
      <x:c r="E41" s="3" t="inlineStr">
        <x:is>
          <x:t xml:space="preserve">Allow selecting/adding/editing address during checkout with field validation.</x:t>
        </x:is>
      </x:c>
      <x:c r="F41" s="3" t="inlineStr">
        <x:is>
          <x:t xml:space="preserve">Checkout verifies address completeness; address ownership enforced; validation errors are inline.</x:t>
        </x:is>
      </x:c>
      <x:c r="G41" s="7" t="inlineStr">
        <x:is>
          <x:t xml:space="preserve">P0</x:t>
        </x:is>
      </x:c>
      <x:c r="H41" s="3" t="inlineStr">
        <x:is>
          <x:t xml:space="preserve">Full-stack</x:t>
        </x:is>
      </x:c>
      <x:c r="I41" s="3" t="n">
        <x:v>5</x:v>
      </x:c>
      <x:c r="J41" s="3" t="inlineStr">
        <x:is>
          <x:t xml:space="preserve">S2 profile/address</x:t>
        </x:is>
      </x:c>
      <x:c r="K41" s="3" t="inlineStr">
        <x:is>
          <x:t xml:space="preserve">Not Started</x:t>
        </x:is>
      </x:c>
      <x:c r="L41" s="3" t="inlineStr">
        <x:is>
          <x:t xml:space="preserve">Refine with PM; add implementation subtasks and test evidence.</x:t>
        </x:is>
      </x:c>
      <x:c r="M41" s="55" t="str">
        <x:v>ID-06; CHK-01</x:v>
      </x:c>
    </x:row>
    <x:row r="42" ht="58" customHeight="1">
      <x:c r="A42" s="3" t="inlineStr">
        <x:is>
          <x:t xml:space="preserve">ECOM-040</x:t>
        </x:is>
      </x:c>
      <x:c r="B42" s="3" t="inlineStr">
        <x:is>
          <x:t xml:space="preserve">S6</x:t>
        </x:is>
      </x:c>
      <x:c r="C42" s="3" t="inlineStr">
        <x:is>
          <x:t xml:space="preserve">Checkout</x:t>
        </x:is>
      </x:c>
      <x:c r="D42" s="3" t="inlineStr">
        <x:is>
          <x:t xml:space="preserve">Implement shipping options and delivery estimates</x:t>
        </x:is>
      </x:c>
      <x:c r="E42" s="3" t="inlineStr">
        <x:is>
          <x:t xml:space="preserve">Implement launch-region shipping methods, eligibility, cost, and estimate from approved rules/provider.</x:t>
        </x:is>
      </x:c>
      <x:c r="F42" s="3" t="inlineStr">
        <x:is>
          <x:t xml:space="preserve">Unavailable destinations are blocked with explanation; shipping total appears in final order amount.</x:t>
        </x:is>
      </x:c>
      <x:c r="G42" s="7" t="inlineStr">
        <x:is>
          <x:t xml:space="preserve">P0</x:t>
        </x:is>
      </x:c>
      <x:c r="H42" s="3" t="inlineStr">
        <x:is>
          <x:t xml:space="preserve">Backend</x:t>
        </x:is>
      </x:c>
      <x:c r="I42" s="3" t="n">
        <x:v>5</x:v>
      </x:c>
      <x:c r="J42" s="3" t="inlineStr">
        <x:is>
          <x:t xml:space="preserve">S1 shipping decision</x:t>
        </x:is>
      </x:c>
      <x:c r="K42" s="3" t="inlineStr">
        <x:is>
          <x:t xml:space="preserve">Not Started</x:t>
        </x:is>
      </x:c>
      <x:c r="L42" s="3" t="inlineStr">
        <x:is>
          <x:t xml:space="preserve">Refine with PM; add implementation subtasks and test evidence.</x:t>
        </x:is>
      </x:c>
      <x:c r="M42" s="55" t="str">
        <x:v>CHK-01–CHK-07</x:v>
      </x:c>
    </x:row>
    <x:row r="43" ht="58" customHeight="1">
      <x:c r="A43" s="3" t="inlineStr">
        <x:is>
          <x:t xml:space="preserve">ECOM-041</x:t>
        </x:is>
      </x:c>
      <x:c r="B43" s="3" t="inlineStr">
        <x:is>
          <x:t xml:space="preserve">S6</x:t>
        </x:is>
      </x:c>
      <x:c r="C43" s="3" t="inlineStr">
        <x:is>
          <x:t xml:space="preserve">Tax</x:t>
        </x:is>
      </x:c>
      <x:c r="D43" s="3" t="inlineStr">
        <x:is>
          <x:t xml:space="preserve">Implement tax calculation adapter</x:t>
        </x:is>
      </x:c>
      <x:c r="E43" s="3" t="inlineStr">
        <x:is>
          <x:t xml:space="preserve">Integrate approved tax provider or encode approved launch-market rules behind a replaceable adapter.</x:t>
        </x:is>
      </x:c>
      <x:c r="F43" s="3" t="inlineStr">
        <x:is>
          <x:t xml:space="preserve">Tax calculation inputs/outputs recorded; totals are revalidated server-side; no silent fallback changes tax.</x:t>
        </x:is>
      </x:c>
      <x:c r="G43" s="7" t="inlineStr">
        <x:is>
          <x:t xml:space="preserve">P0</x:t>
        </x:is>
      </x:c>
      <x:c r="H43" s="3" t="inlineStr">
        <x:is>
          <x:t xml:space="preserve">Backend</x:t>
        </x:is>
      </x:c>
      <x:c r="I43" s="3" t="n">
        <x:v>5</x:v>
      </x:c>
      <x:c r="J43" s="3" t="inlineStr">
        <x:is>
          <x:t xml:space="preserve">S1 market/tax decision</x:t>
        </x:is>
      </x:c>
      <x:c r="K43" s="3" t="inlineStr">
        <x:is>
          <x:t xml:space="preserve">Not Started</x:t>
        </x:is>
      </x:c>
      <x:c r="L43" s="3" t="inlineStr">
        <x:is>
          <x:t xml:space="preserve">Refine with PM; add implementation subtasks and test evidence.</x:t>
        </x:is>
      </x:c>
      <x:c r="M43" s="55" t="str">
        <x:v>CHK-03</x:v>
      </x:c>
    </x:row>
    <x:row r="44" ht="58" customHeight="1">
      <x:c r="A44" s="3" t="inlineStr">
        <x:is>
          <x:t xml:space="preserve">ECOM-042</x:t>
        </x:is>
      </x:c>
      <x:c r="B44" s="3" t="inlineStr">
        <x:is>
          <x:t xml:space="preserve">S6</x:t>
        </x:is>
      </x:c>
      <x:c r="C44" s="3" t="inlineStr">
        <x:is>
          <x:t xml:space="preserve">Checkout</x:t>
        </x:is>
      </x:c>
      <x:c r="D44" s="3" t="inlineStr">
        <x:is>
          <x:t xml:space="preserve">Implement checkout summary and final price validation</x:t>
        </x:is>
      </x:c>
      <x:c r="E44" s="3" t="inlineStr">
        <x:is>
          <x:t xml:space="preserve">Create order preview with items, address, shipping, tax, discounts, and final amount.</x:t>
        </x:is>
      </x:c>
      <x:c r="F44" s="3" t="inlineStr">
        <x:is>
          <x:t xml:space="preserve">Any stale price/stock change requires confirmation before payment; server is source of truth.</x:t>
        </x:is>
      </x:c>
      <x:c r="G44" s="7" t="inlineStr">
        <x:is>
          <x:t xml:space="preserve">P0</x:t>
        </x:is>
      </x:c>
      <x:c r="H44" s="3" t="inlineStr">
        <x:is>
          <x:t xml:space="preserve">Backend / Frontend</x:t>
        </x:is>
      </x:c>
      <x:c r="I44" s="3" t="n">
        <x:v>8</x:v>
      </x:c>
      <x:c r="J44" s="3" t="inlineStr">
        <x:is>
          <x:t xml:space="preserve">Cart/pricing/shipping/tax</x:t>
        </x:is>
      </x:c>
      <x:c r="K44" s="3" t="inlineStr">
        <x:is>
          <x:t xml:space="preserve">Not Started</x:t>
        </x:is>
      </x:c>
      <x:c r="L44" s="3" t="inlineStr">
        <x:is>
          <x:t xml:space="preserve">Refine with PM; add implementation subtasks and test evidence.</x:t>
        </x:is>
      </x:c>
      <x:c r="M44" s="55" t="str">
        <x:v>CHK-01–CHK-07</x:v>
      </x:c>
    </x:row>
    <x:row r="45" ht="58" customHeight="1">
      <x:c r="A45" s="3" t="inlineStr">
        <x:is>
          <x:t xml:space="preserve">ECOM-043</x:t>
        </x:is>
      </x:c>
      <x:c r="B45" s="3" t="inlineStr">
        <x:is>
          <x:t xml:space="preserve">S6</x:t>
        </x:is>
      </x:c>
      <x:c r="C45" s="3" t="inlineStr">
        <x:is>
          <x:t xml:space="preserve">Inventory</x:t>
        </x:is>
      </x:c>
      <x:c r="D45" s="3" t="inlineStr">
        <x:is>
          <x:t xml:space="preserve">Implement stock reservation with expiry</x:t>
        </x:is>
      </x:c>
      <x:c r="E45" s="3" t="inlineStr">
        <x:is>
          <x:t xml:space="preserve">Reserve stock while payment is pending and release reservations on timeout/failure/cancel.</x:t>
        </x:is>
      </x:c>
      <x:c r="F45" s="3" t="inlineStr">
        <x:is>
          <x:t xml:space="preserve">Concurrent checkouts cannot oversell beyond policy; expired reservations are cleaned safely.</x:t>
        </x:is>
      </x:c>
      <x:c r="G45" s="7" t="inlineStr">
        <x:is>
          <x:t xml:space="preserve">P0</x:t>
        </x:is>
      </x:c>
      <x:c r="H45" s="3" t="inlineStr">
        <x:is>
          <x:t xml:space="preserve">Backend / Data</x:t>
        </x:is>
      </x:c>
      <x:c r="I45" s="3" t="n">
        <x:v>8</x:v>
      </x:c>
      <x:c r="J45" s="3" t="inlineStr">
        <x:is>
          <x:t xml:space="preserve">S4 inventory</x:t>
        </x:is>
      </x:c>
      <x:c r="K45" s="3" t="inlineStr">
        <x:is>
          <x:t xml:space="preserve">Not Started</x:t>
        </x:is>
      </x:c>
      <x:c r="L45" s="3" t="inlineStr">
        <x:is>
          <x:t xml:space="preserve">Refine with PM; add implementation subtasks and test evidence.</x:t>
        </x:is>
      </x:c>
      <x:c r="M45" s="55" t="str">
        <x:v>ADM-03; CHK-05</x:v>
      </x:c>
    </x:row>
    <x:row r="46" ht="58" customHeight="1">
      <x:c r="A46" s="3" t="inlineStr">
        <x:is>
          <x:t xml:space="preserve">ECOM-044</x:t>
        </x:is>
      </x:c>
      <x:c r="B46" s="3" t="inlineStr">
        <x:is>
          <x:t xml:space="preserve">S6</x:t>
        </x:is>
      </x:c>
      <x:c r="C46" s="3" t="inlineStr">
        <x:is>
          <x:t xml:space="preserve">Payments</x:t>
        </x:is>
      </x:c>
      <x:c r="D46" s="3" t="inlineStr">
        <x:is>
          <x:t xml:space="preserve">Integrate payment provider sandbox adapter</x:t>
        </x:is>
      </x:c>
      <x:c r="E46" s="3" t="inlineStr">
        <x:is>
          <x:t xml:space="preserve">Create payment intent/session and return a safe redirect/client token for the selected provider.</x:t>
        </x:is>
      </x:c>
      <x:c r="F46" s="3" t="inlineStr">
        <x:is>
          <x:t xml:space="preserve">No raw card data touches app servers; sandbox success/decline/cancel scenarios work; secrets stay in secret manager.</x:t>
        </x:is>
      </x:c>
      <x:c r="G46" s="7" t="inlineStr">
        <x:is>
          <x:t xml:space="preserve">P0</x:t>
        </x:is>
      </x:c>
      <x:c r="H46" s="3" t="inlineStr">
        <x:is>
          <x:t xml:space="preserve">Backend / Security</x:t>
        </x:is>
      </x:c>
      <x:c r="I46" s="3" t="n">
        <x:v>8</x:v>
      </x:c>
      <x:c r="J46" s="3" t="inlineStr">
        <x:is>
          <x:t xml:space="preserve">S1 provider decision</x:t>
        </x:is>
      </x:c>
      <x:c r="K46" s="3" t="inlineStr">
        <x:is>
          <x:t xml:space="preserve">Not Started</x:t>
        </x:is>
      </x:c>
      <x:c r="L46" s="3" t="inlineStr">
        <x:is>
          <x:t xml:space="preserve">Refine with PM; add implementation subtasks and test evidence.</x:t>
        </x:is>
      </x:c>
      <x:c r="M46" s="55" t="str">
        <x:v>PAY-01; PAY-02; PAY-04</x:v>
      </x:c>
    </x:row>
    <x:row r="47" ht="58" customHeight="1">
      <x:c r="A47" s="3" t="inlineStr">
        <x:is>
          <x:t xml:space="preserve">ECOM-045</x:t>
        </x:is>
      </x:c>
      <x:c r="B47" s="3" t="inlineStr">
        <x:is>
          <x:t xml:space="preserve">S6</x:t>
        </x:is>
      </x:c>
      <x:c r="C47" s="3" t="inlineStr">
        <x:is>
          <x:t xml:space="preserve">Reliability</x:t>
        </x:is>
      </x:c>
      <x:c r="D47" s="3" t="inlineStr">
        <x:is>
          <x:t xml:space="preserve">Add checkout idempotency keys</x:t>
        </x:is>
      </x:c>
      <x:c r="E47" s="3" t="inlineStr">
        <x:is>
          <x:t xml:space="preserve">Require idempotency for order/payment creation and return the original result on safe retries.</x:t>
        </x:is>
      </x:c>
      <x:c r="F47" s="3" t="inlineStr">
        <x:is>
          <x:t xml:space="preserve">Repeated request with same key does not create duplicate order or charge; key expiry/ownership defined.</x:t>
        </x:is>
      </x:c>
      <x:c r="G47" s="7" t="inlineStr">
        <x:is>
          <x:t xml:space="preserve">P0</x:t>
        </x:is>
      </x:c>
      <x:c r="H47" s="3" t="inlineStr">
        <x:is>
          <x:t xml:space="preserve">Backend</x:t>
        </x:is>
      </x:c>
      <x:c r="I47" s="3" t="n">
        <x:v>5</x:v>
      </x:c>
      <x:c r="J47" s="3" t="inlineStr">
        <x:is>
          <x:t xml:space="preserve">Checkout/order model</x:t>
        </x:is>
      </x:c>
      <x:c r="K47" s="3" t="inlineStr">
        <x:is>
          <x:t xml:space="preserve">Not Started</x:t>
        </x:is>
      </x:c>
      <x:c r="L47" s="3" t="inlineStr">
        <x:is>
          <x:t xml:space="preserve">Refine with PM; add implementation subtasks and test evidence.</x:t>
        </x:is>
      </x:c>
      <x:c r="M47" s="55" t="str">
        <x:v>PLAT-04; PAY-02; PAY-04</x:v>
      </x:c>
    </x:row>
    <x:row r="48" ht="58" customHeight="1">
      <x:c r="A48" s="3" t="inlineStr">
        <x:is>
          <x:t xml:space="preserve">ECOM-046</x:t>
        </x:is>
      </x:c>
      <x:c r="B48" s="3" t="inlineStr">
        <x:is>
          <x:t xml:space="preserve">S7</x:t>
        </x:is>
      </x:c>
      <x:c r="C48" s="3" t="inlineStr">
        <x:is>
          <x:t xml:space="preserve">Payments</x:t>
        </x:is>
      </x:c>
      <x:c r="D48" s="3" t="inlineStr">
        <x:is>
          <x:t xml:space="preserve">Verify and process payment webhooks</x:t>
        </x:is>
      </x:c>
      <x:c r="E48" s="3" t="inlineStr">
        <x:is>
          <x:t xml:space="preserve">Validate provider signatures, handle retries and event ordering, and persist provider event IDs.</x:t>
        </x:is>
      </x:c>
      <x:c r="F48" s="3" t="inlineStr">
        <x:is>
          <x:t xml:space="preserve">Invalid signatures rejected; duplicate events are idempotent; handler responds quickly and retries safely.</x:t>
        </x:is>
      </x:c>
      <x:c r="G48" s="7" t="inlineStr">
        <x:is>
          <x:t xml:space="preserve">P0</x:t>
        </x:is>
      </x:c>
      <x:c r="H48" s="3" t="inlineStr">
        <x:is>
          <x:t xml:space="preserve">Backend / Security</x:t>
        </x:is>
      </x:c>
      <x:c r="I48" s="3" t="n">
        <x:v>8</x:v>
      </x:c>
      <x:c r="J48" s="3" t="inlineStr">
        <x:is>
          <x:t xml:space="preserve">S6 payment adapter</x:t>
        </x:is>
      </x:c>
      <x:c r="K48" s="3" t="inlineStr">
        <x:is>
          <x:t xml:space="preserve">Not Started</x:t>
        </x:is>
      </x:c>
      <x:c r="L48" s="3" t="inlineStr">
        <x:is>
          <x:t xml:space="preserve">Refine with PM; add implementation subtasks and test evidence.</x:t>
        </x:is>
      </x:c>
      <x:c r="M48" s="55" t="str">
        <x:v>PAY-01; PAY-02; PAY-04</x:v>
      </x:c>
    </x:row>
    <x:row r="49" ht="58" customHeight="1">
      <x:c r="A49" s="3" t="inlineStr">
        <x:is>
          <x:t xml:space="preserve">ECOM-047</x:t>
        </x:is>
      </x:c>
      <x:c r="B49" s="3" t="inlineStr">
        <x:is>
          <x:t xml:space="preserve">S7</x:t>
        </x:is>
      </x:c>
      <x:c r="C49" s="3" t="inlineStr">
        <x:is>
          <x:t xml:space="preserve">Orders</x:t>
        </x:is>
      </x:c>
      <x:c r="D49" s="3" t="inlineStr">
        <x:is>
          <x:t xml:space="preserve">Implement order and payment state machines</x:t>
        </x:is>
      </x:c>
      <x:c r="E49" s="3" t="inlineStr">
        <x:is>
          <x:t xml:space="preserve">Define allowed transitions for pending, paid, processing, fulfilled, delivered, cancelled, refunded and payment failure.</x:t>
        </x:is>
      </x:c>
      <x:c r="F49" s="3" t="inlineStr">
        <x:is>
          <x:t xml:space="preserve">Only valid transitions accepted; state change is audited; payment/order state reconciliation is possible.</x:t>
        </x:is>
      </x:c>
      <x:c r="G49" s="7" t="inlineStr">
        <x:is>
          <x:t xml:space="preserve">P0</x:t>
        </x:is>
      </x:c>
      <x:c r="H49" s="3" t="inlineStr">
        <x:is>
          <x:t xml:space="preserve">Backend</x:t>
        </x:is>
      </x:c>
      <x:c r="I49" s="3" t="n">
        <x:v>8</x:v>
      </x:c>
      <x:c r="J49" s="3" t="inlineStr">
        <x:is>
          <x:t xml:space="preserve">None</x:t>
        </x:is>
      </x:c>
      <x:c r="K49" s="3" t="inlineStr">
        <x:is>
          <x:t xml:space="preserve">Not Started</x:t>
        </x:is>
      </x:c>
      <x:c r="L49" s="3" t="inlineStr">
        <x:is>
          <x:t xml:space="preserve">Refine with PM; add implementation subtasks and test evidence.</x:t>
        </x:is>
      </x:c>
      <x:c r="M49" s="55" t="str">
        <x:v>ORD-01–ORD-06; PAY-03</x:v>
      </x:c>
    </x:row>
    <x:row r="50" ht="58" customHeight="1">
      <x:c r="A50" s="3" t="inlineStr">
        <x:is>
          <x:t xml:space="preserve">ECOM-048</x:t>
        </x:is>
      </x:c>
      <x:c r="B50" s="3" t="inlineStr">
        <x:is>
          <x:t xml:space="preserve">S7</x:t>
        </x:is>
      </x:c>
      <x:c r="C50" s="3" t="inlineStr">
        <x:is>
          <x:t xml:space="preserve">Orders</x:t>
        </x:is>
      </x:c>
      <x:c r="D50" s="3" t="inlineStr">
        <x:is>
          <x:t xml:space="preserve">Build order history and detail pages</x:t>
        </x:is>
      </x:c>
      <x:c r="E50" s="3" t="inlineStr">
        <x:is>
          <x:t xml:space="preserve">Show order number, items, amount breakdown, address snapshot, status timeline and invoice/receipt link.</x:t>
        </x:is>
      </x:c>
      <x:c r="F50" s="3" t="inlineStr">
        <x:is>
          <x:t xml:space="preserve">Customer can only view own orders; historical values do not change when catalog changes.</x:t>
        </x:is>
      </x:c>
      <x:c r="G50" s="7" t="inlineStr">
        <x:is>
          <x:t xml:space="preserve">P0</x:t>
        </x:is>
      </x:c>
      <x:c r="H50" s="3" t="inlineStr">
        <x:is>
          <x:t xml:space="preserve">Full-stack</x:t>
        </x:is>
      </x:c>
      <x:c r="I50" s="3" t="n">
        <x:v>8</x:v>
      </x:c>
      <x:c r="J50" s="3" t="inlineStr">
        <x:is>
          <x:t xml:space="preserve">None</x:t>
        </x:is>
      </x:c>
      <x:c r="K50" s="3" t="inlineStr">
        <x:is>
          <x:t xml:space="preserve">Not Started</x:t>
        </x:is>
      </x:c>
      <x:c r="L50" s="3" t="inlineStr">
        <x:is>
          <x:t xml:space="preserve">Refine with PM; add implementation subtasks and test evidence.</x:t>
        </x:is>
      </x:c>
      <x:c r="M50" s="55" t="str">
        <x:v>ORD-01–ORD-06; PAY-03</x:v>
      </x:c>
    </x:row>
    <x:row r="51" ht="58" customHeight="1">
      <x:c r="A51" s="3" t="inlineStr">
        <x:is>
          <x:t xml:space="preserve">ECOM-049</x:t>
        </x:is>
      </x:c>
      <x:c r="B51" s="3" t="inlineStr">
        <x:is>
          <x:t xml:space="preserve">S7</x:t>
        </x:is>
      </x:c>
      <x:c r="C51" s="3" t="inlineStr">
        <x:is>
          <x:t xml:space="preserve">Notifications</x:t>
        </x:is>
      </x:c>
      <x:c r="D51" s="3" t="inlineStr">
        <x:is>
          <x:t xml:space="preserve">Send order confirmation emails</x:t>
        </x:is>
      </x:c>
      <x:c r="E51" s="3" t="inlineStr">
        <x:is>
          <x:t xml:space="preserve">Use a transactional email provider and safe templates for order confirmation/payment status.</x:t>
        </x:is>
      </x:c>
      <x:c r="F51" s="3" t="inlineStr">
        <x:is>
          <x:t xml:space="preserve">Emails are sent from reliable queue/job; failed sends retry; duplicate webhook does not duplicate confirmation.</x:t>
        </x:is>
      </x:c>
      <x:c r="G51" s="7" t="inlineStr">
        <x:is>
          <x:t xml:space="preserve">P0</x:t>
        </x:is>
      </x:c>
      <x:c r="H51" s="3" t="inlineStr">
        <x:is>
          <x:t xml:space="preserve">Backend</x:t>
        </x:is>
      </x:c>
      <x:c r="I51" s="3" t="n">
        <x:v>5</x:v>
      </x:c>
      <x:c r="J51" s="3" t="inlineStr">
        <x:is>
          <x:t xml:space="preserve">None</x:t>
        </x:is>
      </x:c>
      <x:c r="K51" s="3" t="inlineStr">
        <x:is>
          <x:t xml:space="preserve">Not Started</x:t>
        </x:is>
      </x:c>
      <x:c r="L51" s="3" t="inlineStr">
        <x:is>
          <x:t xml:space="preserve">Refine with PM; add implementation subtasks and test evidence.</x:t>
        </x:is>
      </x:c>
      <x:c r="M51" s="55" t="str">
        <x:v>ORD-04; MSG-01; MSG-02</x:v>
      </x:c>
    </x:row>
    <x:row r="52" ht="58" customHeight="1">
      <x:c r="A52" s="3" t="inlineStr">
        <x:is>
          <x:t xml:space="preserve">ECOM-050</x:t>
        </x:is>
      </x:c>
      <x:c r="B52" s="3" t="inlineStr">
        <x:is>
          <x:t xml:space="preserve">S7</x:t>
        </x:is>
      </x:c>
      <x:c r="C52" s="3" t="inlineStr">
        <x:is>
          <x:t xml:space="preserve">Documents</x:t>
        </x:is>
      </x:c>
      <x:c r="D52" s="3" t="inlineStr">
        <x:is>
          <x:t xml:space="preserve">Generate basic invoice/receipt</x:t>
        </x:is>
      </x:c>
      <x:c r="E52" s="3" t="inlineStr">
        <x:is>
          <x:t xml:space="preserve">Create downloadable order document using agreed legal/tax fields and immutable order snapshot.</x:t>
        </x:is>
      </x:c>
      <x:c r="F52" s="3" t="inlineStr">
        <x:is>
          <x:t xml:space="preserve">Document matches paid order totals and does not expose internal IDs or other customers’ data.</x:t>
        </x:is>
      </x:c>
      <x:c r="G52" s="7" t="inlineStr">
        <x:is>
          <x:t xml:space="preserve">P0</x:t>
        </x:is>
      </x:c>
      <x:c r="H52" s="3" t="inlineStr">
        <x:is>
          <x:t xml:space="preserve">Backend</x:t>
        </x:is>
      </x:c>
      <x:c r="I52" s="3" t="n">
        <x:v>5</x:v>
      </x:c>
      <x:c r="J52" s="3" t="inlineStr">
        <x:is>
          <x:t xml:space="preserve">S1 invoice/tax policy</x:t>
        </x:is>
      </x:c>
      <x:c r="K52" s="3" t="inlineStr">
        <x:is>
          <x:t xml:space="preserve">Not Started</x:t>
        </x:is>
      </x:c>
      <x:c r="L52" s="3" t="inlineStr">
        <x:is>
          <x:t xml:space="preserve">Refine with PM; add implementation subtasks and test evidence.</x:t>
        </x:is>
      </x:c>
      <x:c r="M52" s="55" t="str">
        <x:v>ORD-01–ORD-06; PAY-03</x:v>
      </x:c>
    </x:row>
    <x:row r="53" ht="58" customHeight="1">
      <x:c r="A53" s="3" t="inlineStr">
        <x:is>
          <x:t xml:space="preserve">ECOM-051</x:t>
        </x:is>
      </x:c>
      <x:c r="B53" s="3" t="inlineStr">
        <x:is>
          <x:t xml:space="preserve">S7</x:t>
        </x:is>
      </x:c>
      <x:c r="C53" s="3" t="inlineStr">
        <x:is>
          <x:t xml:space="preserve">Reliability</x:t>
        </x:is>
      </x:c>
      <x:c r="D53" s="3" t="inlineStr">
        <x:is>
          <x:t xml:space="preserve">Add asynchronous job retry and dead-letter handling</x:t>
        </x:is>
      </x:c>
      <x:c r="E53" s="3" t="inlineStr">
        <x:is>
          <x:t xml:space="preserve">Implement queue/job policy for email, webhook follow-up and non-blocking tasks.</x:t>
        </x:is>
      </x:c>
      <x:c r="F53" s="3" t="inlineStr">
        <x:is>
          <x:t xml:space="preserve">Retries are bounded with alerts; failed jobs are inspectable/replayable by authorized operators.</x:t>
        </x:is>
      </x:c>
      <x:c r="G53" s="7" t="inlineStr">
        <x:is>
          <x:t xml:space="preserve">P0</x:t>
        </x:is>
      </x:c>
      <x:c r="H53" s="3" t="inlineStr">
        <x:is>
          <x:t xml:space="preserve">Backend / Cloud</x:t>
        </x:is>
      </x:c>
      <x:c r="I53" s="3" t="n">
        <x:v>5</x:v>
      </x:c>
      <x:c r="J53" s="3" t="inlineStr">
        <x:is>
          <x:t xml:space="preserve">None</x:t>
        </x:is>
      </x:c>
      <x:c r="K53" s="3" t="inlineStr">
        <x:is>
          <x:t xml:space="preserve">Not Started</x:t>
        </x:is>
      </x:c>
      <x:c r="L53" s="3" t="inlineStr">
        <x:is>
          <x:t xml:space="preserve">Refine with PM; add implementation subtasks and test evidence.</x:t>
        </x:is>
      </x:c>
      <x:c r="M53" s="55" t="str">
        <x:v>PLAT-04; PAY-02; PAY-04</x:v>
      </x:c>
    </x:row>
    <x:row r="54" ht="58" customHeight="1">
      <x:c r="A54" s="3" t="inlineStr">
        <x:is>
          <x:t xml:space="preserve">ECOM-052</x:t>
        </x:is>
      </x:c>
      <x:c r="B54" s="3" t="inlineStr">
        <x:is>
          <x:t xml:space="preserve">S8</x:t>
        </x:is>
      </x:c>
      <x:c r="C54" s="3" t="inlineStr">
        <x:is>
          <x:t xml:space="preserve">Admin</x:t>
        </x:is>
      </x:c>
      <x:c r="D54" s="3" t="inlineStr">
        <x:is>
          <x:t xml:space="preserve">Build role-aware admin dashboard</x:t>
        </x:is>
      </x:c>
      <x:c r="E54" s="3" t="inlineStr">
        <x:is>
          <x:t xml:space="preserve">Provide operational landing page with counts, recent orders and low-stock signals.</x:t>
        </x:is>
      </x:c>
      <x:c r="F54" s="3" t="inlineStr">
        <x:is>
          <x:t xml:space="preserve">Dashboard aggregates are permission-aware; no PII beyond role needs is displayed.</x:t>
        </x:is>
      </x:c>
      <x:c r="G54" s="7" t="inlineStr">
        <x:is>
          <x:t xml:space="preserve">P0</x:t>
        </x:is>
      </x:c>
      <x:c r="H54" s="3" t="inlineStr">
        <x:is>
          <x:t xml:space="preserve">Frontend / Backend</x:t>
        </x:is>
      </x:c>
      <x:c r="I54" s="3" t="n">
        <x:v>5</x:v>
      </x:c>
      <x:c r="J54" s="3" t="inlineStr">
        <x:is>
          <x:t xml:space="preserve">None</x:t>
        </x:is>
      </x:c>
      <x:c r="K54" s="3" t="inlineStr">
        <x:is>
          <x:t xml:space="preserve">Not Started</x:t>
        </x:is>
      </x:c>
      <x:c r="L54" s="3" t="inlineStr">
        <x:is>
          <x:t xml:space="preserve">Refine with PM; add implementation subtasks and test evidence.</x:t>
        </x:is>
      </x:c>
      <x:c r="M54" s="55" t="str">
        <x:v>ADM-01–ADM-06</x:v>
      </x:c>
    </x:row>
    <x:row r="55" ht="58" customHeight="1">
      <x:c r="A55" s="3" t="inlineStr">
        <x:is>
          <x:t xml:space="preserve">ECOM-053</x:t>
        </x:is>
      </x:c>
      <x:c r="B55" s="3" t="inlineStr">
        <x:is>
          <x:t xml:space="preserve">S8</x:t>
        </x:is>
      </x:c>
      <x:c r="C55" s="3" t="inlineStr">
        <x:is>
          <x:t xml:space="preserve">Admin Orders</x:t>
        </x:is>
      </x:c>
      <x:c r="D55" s="3" t="inlineStr">
        <x:is>
          <x:t xml:space="preserve">Build order search and order detail operations</x:t>
        </x:is>
      </x:c>
      <x:c r="E55" s="3" t="inlineStr">
        <x:is>
          <x:t xml:space="preserve">Find orders by order number, date, status and customer identifier; show payment and fulfilment timeline.</x:t>
        </x:is>
      </x:c>
      <x:c r="F55" s="3" t="inlineStr">
        <x:is>
          <x:t xml:space="preserve">Search is permission-limited and audited; sensitive fields masked based on role.</x:t>
        </x:is>
      </x:c>
      <x:c r="G55" s="7" t="inlineStr">
        <x:is>
          <x:t xml:space="preserve">P0</x:t>
        </x:is>
      </x:c>
      <x:c r="H55" s="3" t="inlineStr">
        <x:is>
          <x:t xml:space="preserve">Full-stack</x:t>
        </x:is>
      </x:c>
      <x:c r="I55" s="3" t="n">
        <x:v>8</x:v>
      </x:c>
      <x:c r="J55" s="3" t="inlineStr">
        <x:is>
          <x:t xml:space="preserve">S7 orders</x:t>
        </x:is>
      </x:c>
      <x:c r="K55" s="3" t="inlineStr">
        <x:is>
          <x:t xml:space="preserve">Not Started</x:t>
        </x:is>
      </x:c>
      <x:c r="L55" s="3" t="inlineStr">
        <x:is>
          <x:t xml:space="preserve">Refine with PM; add implementation subtasks and test evidence.</x:t>
        </x:is>
      </x:c>
      <x:c r="M55" s="55" t="str">
        <x:v>ORD-01–ORD-06; PAY-03</x:v>
      </x:c>
    </x:row>
    <x:row r="56" ht="58" customHeight="1">
      <x:c r="A56" s="3" t="inlineStr">
        <x:is>
          <x:t xml:space="preserve">ECOM-054</x:t>
        </x:is>
      </x:c>
      <x:c r="B56" s="3" t="inlineStr">
        <x:is>
          <x:t xml:space="preserve">S8</x:t>
        </x:is>
      </x:c>
      <x:c r="C56" s="3" t="inlineStr">
        <x:is>
          <x:t xml:space="preserve">Fulfilment</x:t>
        </x:is>
      </x:c>
      <x:c r="D56" s="3" t="inlineStr">
        <x:is>
          <x:t xml:space="preserve">Implement fulfilment status updates</x:t>
        </x:is>
      </x:c>
      <x:c r="E56" s="3" t="inlineStr">
        <x:is>
          <x:t xml:space="preserve">Allow authorized operations users to mark packed/shipped/delivered and attach carrier/tracking number if supported.</x:t>
        </x:is>
      </x:c>
      <x:c r="F56" s="3" t="inlineStr">
        <x:is>
          <x:t xml:space="preserve">State transitions follow policy; actor/time tracked; customer timeline updates.</x:t>
        </x:is>
      </x:c>
      <x:c r="G56" s="7" t="inlineStr">
        <x:is>
          <x:t xml:space="preserve">P0</x:t>
        </x:is>
      </x:c>
      <x:c r="H56" s="3" t="inlineStr">
        <x:is>
          <x:t xml:space="preserve">Full-stack</x:t>
        </x:is>
      </x:c>
      <x:c r="I56" s="3" t="n">
        <x:v>5</x:v>
      </x:c>
      <x:c r="J56" s="3" t="inlineStr">
        <x:is>
          <x:t xml:space="preserve">None</x:t>
        </x:is>
      </x:c>
      <x:c r="K56" s="3" t="inlineStr">
        <x:is>
          <x:t xml:space="preserve">Not Started</x:t>
        </x:is>
      </x:c>
      <x:c r="L56" s="3" t="inlineStr">
        <x:is>
          <x:t xml:space="preserve">Refine with PM; add implementation subtasks and test evidence.</x:t>
        </x:is>
      </x:c>
      <x:c r="M56" s="55" t="str">
        <x:v>ORD-01–ORD-06; PAY-03</x:v>
      </x:c>
    </x:row>
    <x:row r="57" ht="58" customHeight="1">
      <x:c r="A57" s="3" t="inlineStr">
        <x:is>
          <x:t xml:space="preserve">ECOM-055</x:t>
        </x:is>
      </x:c>
      <x:c r="B57" s="3" t="inlineStr">
        <x:is>
          <x:t xml:space="preserve">S8</x:t>
        </x:is>
      </x:c>
      <x:c r="C57" s="3" t="inlineStr">
        <x:is>
          <x:t xml:space="preserve">Admin Catalog</x:t>
        </x:is>
      </x:c>
      <x:c r="D57" s="3" t="inlineStr">
        <x:is>
          <x:t xml:space="preserve">Add bulk catalog import/export</x:t>
        </x:is>
      </x:c>
      <x:c r="E57" s="3" t="inlineStr">
        <x:is>
          <x:t xml:space="preserve">Support CSV template, preview/validation, row-level errors and safe exports.</x:t>
        </x:is>
      </x:c>
      <x:c r="F57" s="3" t="inlineStr">
        <x:is>
          <x:t xml:space="preserve">Bad rows do not silently corrupt good data; imports require authorization and generate a summary.</x:t>
        </x:is>
      </x:c>
      <x:c r="G57" s="3" t="inlineStr">
        <x:is>
          <x:t xml:space="preserve">P1</x:t>
        </x:is>
      </x:c>
      <x:c r="H57" s="3" t="inlineStr">
        <x:is>
          <x:t xml:space="preserve">Backend / Admin</x:t>
        </x:is>
      </x:c>
      <x:c r="I57" s="3" t="n">
        <x:v>8</x:v>
      </x:c>
      <x:c r="J57" s="3" t="inlineStr">
        <x:is>
          <x:t xml:space="preserve">None</x:t>
        </x:is>
      </x:c>
      <x:c r="K57" s="3" t="inlineStr">
        <x:is>
          <x:t xml:space="preserve">Not Started</x:t>
        </x:is>
      </x:c>
      <x:c r="L57" s="3" t="inlineStr">
        <x:is>
          <x:t xml:space="preserve">Refine with PM; add implementation subtasks and test evidence.</x:t>
        </x:is>
      </x:c>
      <x:c r="M57" s="55" t="str">
        <x:v>CAT-02; ADM-02</x:v>
      </x:c>
    </x:row>
    <x:row r="58" ht="58" customHeight="1">
      <x:c r="A58" s="3" t="inlineStr">
        <x:is>
          <x:t xml:space="preserve">ECOM-056</x:t>
        </x:is>
      </x:c>
      <x:c r="B58" s="3" t="inlineStr">
        <x:is>
          <x:t xml:space="preserve">S8</x:t>
        </x:is>
      </x:c>
      <x:c r="C58" s="3" t="inlineStr">
        <x:is>
          <x:t xml:space="preserve">Promotions Admin</x:t>
        </x:is>
      </x:c>
      <x:c r="D58" s="3" t="inlineStr">
        <x:is>
          <x:t xml:space="preserve">Build coupon administration UI</x:t>
        </x:is>
      </x:c>
      <x:c r="E58" s="3" t="inlineStr">
        <x:is>
          <x:t xml:space="preserve">Allow authorized staff to create/edit/pause coupons and see usage.</x:t>
        </x:is>
      </x:c>
      <x:c r="F58" s="3" t="inlineStr">
        <x:is>
          <x:t xml:space="preserve">Eligibility fields validated; usage constraints enforced server-side; changes are audited.</x:t>
        </x:is>
      </x:c>
      <x:c r="G58" s="7" t="inlineStr">
        <x:is>
          <x:t xml:space="preserve">P0</x:t>
        </x:is>
      </x:c>
      <x:c r="H58" s="3" t="inlineStr">
        <x:is>
          <x:t xml:space="preserve">Full-stack</x:t>
        </x:is>
      </x:c>
      <x:c r="I58" s="3" t="n">
        <x:v>5</x:v>
      </x:c>
      <x:c r="J58" s="3" t="inlineStr">
        <x:is>
          <x:t xml:space="preserve">S5 coupons</x:t>
        </x:is>
      </x:c>
      <x:c r="K58" s="3" t="inlineStr">
        <x:is>
          <x:t xml:space="preserve">Not Started</x:t>
        </x:is>
      </x:c>
      <x:c r="L58" s="3" t="inlineStr">
        <x:is>
          <x:t xml:space="preserve">Refine with PM; add implementation subtasks and test evidence.</x:t>
        </x:is>
      </x:c>
      <x:c r="M58" s="55" t="str">
        <x:v>CART-05; ADM-04</x:v>
      </x:c>
    </x:row>
    <x:row r="59" ht="58" customHeight="1">
      <x:c r="A59" s="3" t="inlineStr">
        <x:is>
          <x:t xml:space="preserve">ECOM-057</x:t>
        </x:is>
      </x:c>
      <x:c r="B59" s="3" t="inlineStr">
        <x:is>
          <x:t xml:space="preserve">S8</x:t>
        </x:is>
      </x:c>
      <x:c r="C59" s="3" t="inlineStr">
        <x:is>
          <x:t xml:space="preserve">Audit</x:t>
        </x:is>
      </x:c>
      <x:c r="D59" s="3" t="inlineStr">
        <x:is>
          <x:t xml:space="preserve">Add admin action audit log UI/API</x:t>
        </x:is>
      </x:c>
      <x:c r="E59" s="3" t="inlineStr">
        <x:is>
          <x:t xml:space="preserve">Record and search security-sensitive changes, inventory adjustments and order status updates.</x:t>
        </x:is>
      </x:c>
      <x:c r="F59" s="3" t="inlineStr">
        <x:is>
          <x:t xml:space="preserve">Logs include actor/action/entity/time/correlation ID without secrets or unnecessary payment data.</x:t>
        </x:is>
      </x:c>
      <x:c r="G59" s="7" t="inlineStr">
        <x:is>
          <x:t xml:space="preserve">P0</x:t>
        </x:is>
      </x:c>
      <x:c r="H59" s="3" t="inlineStr">
        <x:is>
          <x:t xml:space="preserve">Backend / Frontend</x:t>
        </x:is>
      </x:c>
      <x:c r="I59" s="3" t="n">
        <x:v>5</x:v>
      </x:c>
      <x:c r="J59" s="3" t="inlineStr">
        <x:is>
          <x:t xml:space="preserve">None</x:t>
        </x:is>
      </x:c>
      <x:c r="K59" s="3" t="inlineStr">
        <x:is>
          <x:t xml:space="preserve">Not Started</x:t>
        </x:is>
      </x:c>
      <x:c r="L59" s="3" t="inlineStr">
        <x:is>
          <x:t xml:space="preserve">Refine with PM; add implementation subtasks and test evidence.</x:t>
        </x:is>
      </x:c>
      <x:c r="M59" s="55" t="str">
        <x:v>ADM-06</x:v>
      </x:c>
    </x:row>
    <x:row r="60" ht="58" customHeight="1">
      <x:c r="A60" s="3" t="inlineStr">
        <x:is>
          <x:t xml:space="preserve">ECOM-058</x:t>
        </x:is>
      </x:c>
      <x:c r="B60" s="3" t="inlineStr">
        <x:is>
          <x:t xml:space="preserve">S8</x:t>
        </x:is>
      </x:c>
      <x:c r="C60" s="3" t="inlineStr">
        <x:is>
          <x:t xml:space="preserve">Support</x:t>
        </x:is>
      </x:c>
      <x:c r="D60" s="3" t="inlineStr">
        <x:is>
          <x:t xml:space="preserve">Create restricted customer lookup</x:t>
        </x:is>
      </x:c>
      <x:c r="E60" s="3" t="inlineStr">
        <x:is>
          <x:t xml:space="preserve">Allow support role to locate customer/order for assistance without granting broad admin powers.</x:t>
        </x:is>
      </x:c>
      <x:c r="F60" s="3" t="inlineStr">
        <x:is>
          <x:t xml:space="preserve">Support cannot change role, view passwords/payment secrets, or perform restricted refunds unless explicitly granted.</x:t>
        </x:is>
      </x:c>
      <x:c r="G60" s="3" t="inlineStr">
        <x:is>
          <x:t xml:space="preserve">P1</x:t>
        </x:is>
      </x:c>
      <x:c r="H60" s="3" t="inlineStr">
        <x:is>
          <x:t xml:space="preserve">Full-stack / Security</x:t>
        </x:is>
      </x:c>
      <x:c r="I60" s="3" t="n">
        <x:v>5</x:v>
      </x:c>
      <x:c r="J60" s="3" t="inlineStr">
        <x:is>
          <x:t xml:space="preserve">None</x:t>
        </x:is>
      </x:c>
      <x:c r="K60" s="3" t="inlineStr">
        <x:is>
          <x:t xml:space="preserve">Not Started</x:t>
        </x:is>
      </x:c>
      <x:c r="L60" s="3" t="inlineStr">
        <x:is>
          <x:t xml:space="preserve">Refine with PM; add implementation subtasks and test evidence.</x:t>
        </x:is>
      </x:c>
      <x:c r="M60" s="55" t="str">
        <x:v>ADM-07</x:v>
      </x:c>
    </x:row>
    <x:row r="61" ht="58" customHeight="1">
      <x:c r="A61" s="3" t="inlineStr">
        <x:is>
          <x:t xml:space="preserve">ECOM-059</x:t>
        </x:is>
      </x:c>
      <x:c r="B61" s="3" t="inlineStr">
        <x:is>
          <x:t xml:space="preserve">S9</x:t>
        </x:is>
      </x:c>
      <x:c r="C61" s="3" t="inlineStr">
        <x:is>
          <x:t xml:space="preserve">Reviews</x:t>
        </x:is>
      </x:c>
      <x:c r="D61" s="3" t="inlineStr">
        <x:is>
          <x:t xml:space="preserve">Implement product reviews and ratings</x:t>
        </x:is>
      </x:c>
      <x:c r="E61" s="3" t="inlineStr">
        <x:is>
          <x:t xml:space="preserve">Allow review submission under approved policy, rating aggregation, abuse throttling and moderation status.</x:t>
        </x:is>
      </x:c>
      <x:c r="F61" s="3" t="inlineStr">
        <x:is>
          <x:t xml:space="preserve">Only eligible users can submit under configured rule; hidden/rejected reviews do not affect public average.</x:t>
        </x:is>
      </x:c>
      <x:c r="G61" s="3" t="inlineStr">
        <x:is>
          <x:t xml:space="preserve">P1</x:t>
        </x:is>
      </x:c>
      <x:c r="H61" s="3" t="inlineStr">
        <x:is>
          <x:t xml:space="preserve">Full-stack</x:t>
        </x:is>
      </x:c>
      <x:c r="I61" s="3" t="n">
        <x:v>8</x:v>
      </x:c>
      <x:c r="J61" s="3" t="inlineStr">
        <x:is>
          <x:t xml:space="preserve">None</x:t>
        </x:is>
      </x:c>
      <x:c r="K61" s="3" t="inlineStr">
        <x:is>
          <x:t xml:space="preserve">Not Started</x:t>
        </x:is>
      </x:c>
      <x:c r="L61" s="3" t="inlineStr">
        <x:is>
          <x:t xml:space="preserve">Refine with PM; add implementation subtasks and test evidence.</x:t>
        </x:is>
      </x:c>
      <x:c r="M61" s="55" t="str">
        <x:v>REV-01</x:v>
      </x:c>
    </x:row>
    <x:row r="62" ht="58" customHeight="1">
      <x:c r="A62" s="3" t="inlineStr">
        <x:is>
          <x:t xml:space="preserve">ECOM-060</x:t>
        </x:is>
      </x:c>
      <x:c r="B62" s="3" t="inlineStr">
        <x:is>
          <x:t xml:space="preserve">S9</x:t>
        </x:is>
      </x:c>
      <x:c r="C62" s="3" t="inlineStr">
        <x:is>
          <x:t xml:space="preserve">Returns</x:t>
        </x:is>
      </x:c>
      <x:c r="D62" s="3" t="inlineStr">
        <x:is>
          <x:t xml:space="preserve">Implement cancellation eligibility and request flow</x:t>
        </x:is>
      </x:c>
      <x:c r="E62" s="3" t="inlineStr">
        <x:is>
          <x:t xml:space="preserve">Apply cancellation rules by order status/time; create request and staff decision flow if approval is required.</x:t>
        </x:is>
      </x:c>
      <x:c r="F62" s="3" t="inlineStr">
        <x:is>
          <x:t xml:space="preserve">Ineligible cancellations explain why; stock/payment side effects are consistent and audited.</x:t>
        </x:is>
      </x:c>
      <x:c r="G62" s="7" t="inlineStr">
        <x:is>
          <x:t xml:space="preserve">P0</x:t>
        </x:is>
      </x:c>
      <x:c r="H62" s="3" t="inlineStr">
        <x:is>
          <x:t xml:space="preserve">Backend / Frontend</x:t>
        </x:is>
      </x:c>
      <x:c r="I62" s="3" t="n">
        <x:v>8</x:v>
      </x:c>
      <x:c r="J62" s="3" t="inlineStr">
        <x:is>
          <x:t xml:space="preserve">S7 state machine; policy decision</x:t>
        </x:is>
      </x:c>
      <x:c r="K62" s="3" t="inlineStr">
        <x:is>
          <x:t xml:space="preserve">Not Started</x:t>
        </x:is>
      </x:c>
      <x:c r="L62" s="3" t="inlineStr">
        <x:is>
          <x:t xml:space="preserve">Refine with PM; add implementation subtasks and test evidence.</x:t>
        </x:is>
      </x:c>
      <x:c r="M62" s="55" t="str">
        <x:v>RET-01–RET-03</x:v>
      </x:c>
    </x:row>
    <x:row r="63" ht="58" customHeight="1">
      <x:c r="A63" s="3" t="inlineStr">
        <x:is>
          <x:t xml:space="preserve">ECOM-061</x:t>
        </x:is>
      </x:c>
      <x:c r="B63" s="3" t="inlineStr">
        <x:is>
          <x:t xml:space="preserve">S9</x:t>
        </x:is>
      </x:c>
      <x:c r="C63" s="3" t="inlineStr">
        <x:is>
          <x:t xml:space="preserve">Returns</x:t>
        </x:is>
      </x:c>
      <x:c r="D63" s="3" t="inlineStr">
        <x:is>
          <x:t xml:space="preserve">Implement return/refund request workflow</x:t>
        </x:is>
      </x:c>
      <x:c r="E63" s="3" t="inlineStr">
        <x:is>
          <x:t xml:space="preserve">Capture reason, items/quantities, evidence if needed, decision, refund request, and audit trail.</x:t>
        </x:is>
      </x:c>
      <x:c r="F63" s="3" t="inlineStr">
        <x:is>
          <x:t xml:space="preserve">Refund cannot exceed captured amount; duplicate refunds blocked; gateway refund status reconciles with order.</x:t>
        </x:is>
      </x:c>
      <x:c r="G63" s="7" t="inlineStr">
        <x:is>
          <x:t xml:space="preserve">P0</x:t>
        </x:is>
      </x:c>
      <x:c r="H63" s="3" t="inlineStr">
        <x:is>
          <x:t xml:space="preserve">Backend / Frontend</x:t>
        </x:is>
      </x:c>
      <x:c r="I63" s="3" t="n">
        <x:v>8</x:v>
      </x:c>
      <x:c r="J63" s="3" t="inlineStr">
        <x:is>
          <x:t xml:space="preserve">S1 return policy; S7 payment state</x:t>
        </x:is>
      </x:c>
      <x:c r="K63" s="3" t="inlineStr">
        <x:is>
          <x:t xml:space="preserve">Not Started</x:t>
        </x:is>
      </x:c>
      <x:c r="L63" s="3" t="inlineStr">
        <x:is>
          <x:t xml:space="preserve">Refine with PM; add implementation subtasks and test evidence.</x:t>
        </x:is>
      </x:c>
      <x:c r="M63" s="55" t="str">
        <x:v>RET-01–RET-03</x:v>
      </x:c>
    </x:row>
    <x:row r="64" ht="58" customHeight="1">
      <x:c r="A64" s="3" t="inlineStr">
        <x:is>
          <x:t xml:space="preserve">ECOM-062</x:t>
        </x:is>
      </x:c>
      <x:c r="B64" s="3" t="inlineStr">
        <x:is>
          <x:t xml:space="preserve">S9</x:t>
        </x:is>
      </x:c>
      <x:c r="C64" s="3" t="inlineStr">
        <x:is>
          <x:t xml:space="preserve">Notifications</x:t>
        </x:is>
      </x:c>
      <x:c r="D64" s="3" t="inlineStr">
        <x:is>
          <x:t xml:space="preserve">Finalize email templates and preference handling</x:t>
        </x:is>
      </x:c>
      <x:c r="E64" s="3" t="inlineStr">
        <x:is>
          <x:t xml:space="preserve">Build templates for verification, reset, order, shipment, cancellation/refund and required notifications.</x:t>
        </x:is>
      </x:c>
      <x:c r="F64" s="3" t="inlineStr">
        <x:is>
          <x:t xml:space="preserve">Templates render on mobile; marketing opt-in is separate from transactional messages; unsubscribe rules match policy.</x:t>
        </x:is>
      </x:c>
      <x:c r="G64" s="7" t="inlineStr">
        <x:is>
          <x:t xml:space="preserve">P0</x:t>
        </x:is>
      </x:c>
      <x:c r="H64" s="3" t="inlineStr">
        <x:is>
          <x:t xml:space="preserve">Frontend / Backend</x:t>
        </x:is>
      </x:c>
      <x:c r="I64" s="3" t="n">
        <x:v>5</x:v>
      </x:c>
      <x:c r="J64" s="3" t="inlineStr">
        <x:is>
          <x:t xml:space="preserve">None</x:t>
        </x:is>
      </x:c>
      <x:c r="K64" s="3" t="inlineStr">
        <x:is>
          <x:t xml:space="preserve">Not Started</x:t>
        </x:is>
      </x:c>
      <x:c r="L64" s="3" t="inlineStr">
        <x:is>
          <x:t xml:space="preserve">Refine with PM; add implementation subtasks and test evidence.</x:t>
        </x:is>
      </x:c>
      <x:c r="M64" s="55" t="str">
        <x:v>ORD-04; MSG-01; MSG-02</x:v>
      </x:c>
    </x:row>
    <x:row r="65" ht="58" customHeight="1">
      <x:c r="A65" s="3" t="inlineStr">
        <x:is>
          <x:t xml:space="preserve">ECOM-063</x:t>
        </x:is>
      </x:c>
      <x:c r="B65" s="3" t="inlineStr">
        <x:is>
          <x:t xml:space="preserve">S9</x:t>
        </x:is>
      </x:c>
      <x:c r="C65" s="3" t="inlineStr">
        <x:is>
          <x:t xml:space="preserve">Discovery</x:t>
        </x:is>
      </x:c>
      <x:c r="D65" s="3" t="inlineStr">
        <x:is>
          <x:t xml:space="preserve">Tune search relevance and empty-state help</x:t>
        </x:is>
      </x:c>
      <x:c r="E65" s="3" t="inlineStr">
        <x:is>
          <x:t xml:space="preserve">Improve ranking, typo tolerance if feasible, facets and zero-results suggestions within selected search approach.</x:t>
        </x:is>
      </x:c>
      <x:c r="F65" s="3" t="inlineStr">
        <x:is>
          <x:t xml:space="preserve">Search quality reviewed against a small agreed query set; no-result state offers useful recovery.</x:t>
        </x:is>
      </x:c>
      <x:c r="G65" s="3" t="inlineStr">
        <x:is>
          <x:t xml:space="preserve">P1</x:t>
        </x:is>
      </x:c>
      <x:c r="H65" s="3" t="inlineStr">
        <x:is>
          <x:t xml:space="preserve">Backend / Product</x:t>
        </x:is>
      </x:c>
      <x:c r="I65" s="3" t="n">
        <x:v>5</x:v>
      </x:c>
      <x:c r="J65" s="3" t="inlineStr">
        <x:is>
          <x:t xml:space="preserve">None</x:t>
        </x:is>
      </x:c>
      <x:c r="K65" s="3" t="inlineStr">
        <x:is>
          <x:t xml:space="preserve">Not Started</x:t>
        </x:is>
      </x:c>
      <x:c r="L65" s="3" t="inlineStr">
        <x:is>
          <x:t xml:space="preserve">Refine with PM; add implementation subtasks and test evidence.</x:t>
        </x:is>
      </x:c>
      <x:c r="M65" s="55" t="str">
        <x:v>CAT-07</x:v>
      </x:c>
    </x:row>
    <x:row r="66" ht="58" customHeight="1">
      <x:c r="A66" s="3" t="inlineStr">
        <x:is>
          <x:t xml:space="preserve">ECOM-064</x:t>
        </x:is>
      </x:c>
      <x:c r="B66" s="3" t="inlineStr">
        <x:is>
          <x:t xml:space="preserve">S9</x:t>
        </x:is>
      </x:c>
      <x:c r="C66" s="3" t="inlineStr">
        <x:is>
          <x:t xml:space="preserve">Quality</x:t>
        </x:is>
      </x:c>
      <x:c r="D66" s="3" t="inlineStr">
        <x:is>
          <x:t xml:space="preserve">Run end-to-end P0 journey suite</x:t>
        </x:is>
      </x:c>
      <x:c r="E66" s="3" t="inlineStr">
        <x:is>
          <x:t xml:space="preserve">Automate register/login, browse, add to cart, coupon, checkout sandbox, order history, admin fulfilment, cancellation/refund happy and failure paths.</x:t>
        </x:is>
      </x:c>
      <x:c r="F66" s="3" t="inlineStr">
        <x:is>
          <x:t xml:space="preserve">CI or scheduled staging suite runs consistently and stores artifacts; P0 flows have clear pass/fail.</x:t>
        </x:is>
      </x:c>
      <x:c r="G66" s="7" t="inlineStr">
        <x:is>
          <x:t xml:space="preserve">P0</x:t>
        </x:is>
      </x:c>
      <x:c r="H66" s="3" t="inlineStr">
        <x:is>
          <x:t xml:space="preserve">QA / Full-stack</x:t>
        </x:is>
      </x:c>
      <x:c r="I66" s="3" t="n">
        <x:v>8</x:v>
      </x:c>
      <x:c r="J66" s="3" t="inlineStr">
        <x:is>
          <x:t xml:space="preserve">None</x:t>
        </x:is>
      </x:c>
      <x:c r="K66" s="3" t="inlineStr">
        <x:is>
          <x:t xml:space="preserve">Not Started</x:t>
        </x:is>
      </x:c>
      <x:c r="L66" s="3" t="inlineStr">
        <x:is>
          <x:t xml:space="preserve">Refine with PM; add implementation subtasks and test evidence.</x:t>
        </x:is>
      </x:c>
      <x:c r="M66" s="55" t="str">
        <x:v>NFR-Testing; Release Gates</x:v>
      </x:c>
    </x:row>
    <x:row r="67" ht="58" customHeight="1">
      <x:c r="A67" s="3" t="inlineStr">
        <x:is>
          <x:t xml:space="preserve">ECOM-065</x:t>
        </x:is>
      </x:c>
      <x:c r="B67" s="3" t="inlineStr">
        <x:is>
          <x:t xml:space="preserve">S9</x:t>
        </x:is>
      </x:c>
      <x:c r="C67" s="3" t="inlineStr">
        <x:is>
          <x:t xml:space="preserve">Content</x:t>
        </x:is>
      </x:c>
      <x:c r="D67" s="3" t="inlineStr">
        <x:is>
          <x:t xml:space="preserve">Add support/contact and policy pages</x:t>
        </x:is>
      </x:c>
      <x:c r="E67" s="3" t="inlineStr">
        <x:is>
          <x:t xml:space="preserve">Create contact/help page and shipping, privacy, terms, refund, and cookie disclosures from approved content.</x:t>
        </x:is>
      </x:c>
      <x:c r="F67" s="3" t="inlineStr">
        <x:is>
          <x:t xml:space="preserve">Legal/business copy approved; navigation links work; pages are responsive and discoverable.</x:t>
        </x:is>
      </x:c>
      <x:c r="G67" s="7" t="inlineStr">
        <x:is>
          <x:t xml:space="preserve">P0</x:t>
        </x:is>
      </x:c>
      <x:c r="H67" s="3" t="inlineStr">
        <x:is>
          <x:t xml:space="preserve">Frontend / Product</x:t>
        </x:is>
      </x:c>
      <x:c r="I67" s="3" t="n">
        <x:v>3</x:v>
      </x:c>
      <x:c r="J67" s="3" t="inlineStr">
        <x:is>
          <x:t xml:space="preserve">None</x:t>
        </x:is>
      </x:c>
      <x:c r="K67" s="3" t="inlineStr">
        <x:is>
          <x:t xml:space="preserve">Not Started</x:t>
        </x:is>
      </x:c>
      <x:c r="L67" s="3" t="inlineStr">
        <x:is>
          <x:t xml:space="preserve">Refine with PM; add implementation subtasks and test evidence.</x:t>
        </x:is>
      </x:c>
      <x:c r="M67" s="55" t="str">
        <x:v>CNT-01</x:v>
      </x:c>
    </x:row>
    <x:row r="68" ht="58" customHeight="1">
      <x:c r="A68" s="8" t="inlineStr">
        <x:is>
          <x:t xml:space="preserve">ECOM-066</x:t>
        </x:is>
      </x:c>
      <x:c r="B68" s="8" t="inlineStr">
        <x:is>
          <x:t xml:space="preserve">S10</x:t>
        </x:is>
      </x:c>
      <x:c r="C68" s="8" t="inlineStr">
        <x:is>
          <x:t xml:space="preserve">Quality</x:t>
        </x:is>
      </x:c>
      <x:c r="D68" s="8" t="inlineStr">
        <x:is>
          <x:t xml:space="preserve">Execute full regression and contract testing</x:t>
        </x:is>
      </x:c>
      <x:c r="E68" s="8" t="inlineStr">
        <x:is>
          <x:t xml:space="preserve">Validate service APIs, compatibility, migrations and cross-service workflows using controlled test fixtures.</x:t>
        </x:is>
      </x:c>
      <x:c r="F68" s="8" t="inlineStr">
        <x:is>
          <x:t xml:space="preserve">No P0 regression; contract breaks fail CI; test evidence linked to release candidate.</x:t>
        </x:is>
      </x:c>
      <x:c r="G68" s="9" t="inlineStr">
        <x:is>
          <x:t xml:space="preserve">P0</x:t>
        </x:is>
      </x:c>
      <x:c r="H68" s="8" t="inlineStr">
        <x:is>
          <x:t xml:space="preserve">QA / Backend</x:t>
        </x:is>
      </x:c>
      <x:c r="I68" s="8" t="n">
        <x:v>8</x:v>
      </x:c>
      <x:c r="J68" s="8" t="inlineStr">
        <x:is>
          <x:t xml:space="preserve">None</x:t>
        </x:is>
      </x:c>
      <x:c r="K68" s="8" t="inlineStr">
        <x:is>
          <x:t xml:space="preserve">Not Started</x:t>
        </x:is>
      </x:c>
      <x:c r="L68" s="8" t="inlineStr">
        <x:is>
          <x:t xml:space="preserve">Refine with PM; add implementation subtasks and test evidence.</x:t>
        </x:is>
      </x:c>
      <x:c r="M68" s="55" t="str">
        <x:v>NFR-Testing; Release Gates</x:v>
      </x:c>
    </x:row>
    <x:row r="69" ht="58" customHeight="1">
      <x:c r="A69" s="8" t="inlineStr">
        <x:is>
          <x:t xml:space="preserve">ECOM-067</x:t>
        </x:is>
      </x:c>
      <x:c r="B69" s="8" t="inlineStr">
        <x:is>
          <x:t xml:space="preserve">S10</x:t>
        </x:is>
      </x:c>
      <x:c r="C69" s="8" t="inlineStr">
        <x:is>
          <x:t xml:space="preserve">Performance</x:t>
        </x:is>
      </x:c>
      <x:c r="D69" s="8" t="inlineStr">
        <x:is>
          <x:t xml:space="preserve">Run load test and fix critical bottlenecks</x:t>
        </x:is>
      </x:c>
      <x:c r="E69" s="8" t="inlineStr">
        <x:is>
          <x:t xml:space="preserve">Measure listing, product detail, cart and checkout under agreed traffic profile; tune queries/cache/CDN.</x:t>
        </x:is>
      </x:c>
      <x:c r="F69" s="8" t="inlineStr">
        <x:is>
          <x:t xml:space="preserve">Agreed target profile and thresholds documented; no critical resource exhaustion; results and remediation recorded.</x:t>
        </x:is>
      </x:c>
      <x:c r="G69" s="9" t="inlineStr">
        <x:is>
          <x:t xml:space="preserve">P0</x:t>
        </x:is>
      </x:c>
      <x:c r="H69" s="8" t="inlineStr">
        <x:is>
          <x:t xml:space="preserve">Performance / Backend</x:t>
        </x:is>
      </x:c>
      <x:c r="I69" s="8" t="n">
        <x:v>8</x:v>
      </x:c>
      <x:c r="J69" s="8" t="inlineStr">
        <x:is>
          <x:t xml:space="preserve">None</x:t>
        </x:is>
      </x:c>
      <x:c r="K69" s="8" t="inlineStr">
        <x:is>
          <x:t xml:space="preserve">Not Started</x:t>
        </x:is>
      </x:c>
      <x:c r="L69" s="8" t="inlineStr">
        <x:is>
          <x:t xml:space="preserve">Refine with PM; add implementation subtasks and test evidence.</x:t>
        </x:is>
      </x:c>
      <x:c r="M69" s="55" t="str">
        <x:v>NFR-Performance</x:v>
      </x:c>
    </x:row>
    <x:row r="70" ht="58" customHeight="1">
      <x:c r="A70" s="8" t="inlineStr">
        <x:is>
          <x:t xml:space="preserve">ECOM-068</x:t>
        </x:is>
      </x:c>
      <x:c r="B70" s="8" t="inlineStr">
        <x:is>
          <x:t xml:space="preserve">S10</x:t>
        </x:is>
      </x:c>
      <x:c r="C70" s="8" t="inlineStr">
        <x:is>
          <x:t xml:space="preserve">Security</x:t>
        </x:is>
      </x:c>
      <x:c r="D70" s="8" t="inlineStr">
        <x:is>
          <x:t xml:space="preserve">Run application security review</x:t>
        </x:is>
      </x:c>
      <x:c r="E70" s="8" t="inlineStr">
        <x:is>
          <x:t xml:space="preserve">Check auth/session, access control, SSRF/injection, CSRF, XSS, secrets, dependencies, CORS, rate limits, webhooks and data exposure.</x:t>
        </x:is>
      </x:c>
      <x:c r="F70" s="8" t="inlineStr">
        <x:is>
          <x:t xml:space="preserve">No unresolved critical/high issue without explicit risk acceptance; remediation retested.</x:t>
        </x:is>
      </x:c>
      <x:c r="G70" s="9" t="inlineStr">
        <x:is>
          <x:t xml:space="preserve">P0</x:t>
        </x:is>
      </x:c>
      <x:c r="H70" s="8" t="inlineStr">
        <x:is>
          <x:t xml:space="preserve">Security / QA</x:t>
        </x:is>
      </x:c>
      <x:c r="I70" s="8" t="n">
        <x:v>8</x:v>
      </x:c>
      <x:c r="J70" s="8" t="inlineStr">
        <x:is>
          <x:t xml:space="preserve">None</x:t>
        </x:is>
      </x:c>
      <x:c r="K70" s="8" t="inlineStr">
        <x:is>
          <x:t xml:space="preserve">Not Started</x:t>
        </x:is>
      </x:c>
      <x:c r="L70" s="8" t="inlineStr">
        <x:is>
          <x:t xml:space="preserve">Refine with PM; add implementation subtasks and test evidence.</x:t>
        </x:is>
      </x:c>
      <x:c r="M70" s="55" t="str">
        <x:v>NFR-Security</x:v>
      </x:c>
    </x:row>
    <x:row r="71" ht="58" customHeight="1">
      <x:c r="A71" s="8" t="inlineStr">
        <x:is>
          <x:t xml:space="preserve">ECOM-069</x:t>
        </x:is>
      </x:c>
      <x:c r="B71" s="8" t="inlineStr">
        <x:is>
          <x:t xml:space="preserve">S10</x:t>
        </x:is>
      </x:c>
      <x:c r="C71" s="8" t="inlineStr">
        <x:is>
          <x:t xml:space="preserve">Accessibility</x:t>
        </x:is>
      </x:c>
      <x:c r="D71" s="8" t="inlineStr">
        <x:is>
          <x:t xml:space="preserve">Complete WCAG 2.2 AA-oriented audit</x:t>
        </x:is>
      </x:c>
      <x:c r="E71" s="8" t="inlineStr">
        <x:is>
          <x:t xml:space="preserve">Keyboard/screen reader test key journeys; inspect focus, contrast, labels, error announcements and reduced motion.</x:t>
        </x:is>
      </x:c>
      <x:c r="F71" s="8" t="inlineStr">
        <x:is>
          <x:t xml:space="preserve">No blocker on core checkout/accessibility paths; issues prioritized and retested.</x:t>
        </x:is>
      </x:c>
      <x:c r="G71" s="9" t="inlineStr">
        <x:is>
          <x:t xml:space="preserve">P0</x:t>
        </x:is>
      </x:c>
      <x:c r="H71" s="8" t="inlineStr">
        <x:is>
          <x:t xml:space="preserve">UX / QA / Frontend</x:t>
        </x:is>
      </x:c>
      <x:c r="I71" s="8" t="n">
        <x:v>5</x:v>
      </x:c>
      <x:c r="J71" s="8" t="inlineStr">
        <x:is>
          <x:t xml:space="preserve">None</x:t>
        </x:is>
      </x:c>
      <x:c r="K71" s="8" t="inlineStr">
        <x:is>
          <x:t xml:space="preserve">Not Started</x:t>
        </x:is>
      </x:c>
      <x:c r="L71" s="8" t="inlineStr">
        <x:is>
          <x:t xml:space="preserve">Refine with PM; add implementation subtasks and test evidence.</x:t>
        </x:is>
      </x:c>
      <x:c r="M71" s="55" t="str">
        <x:v>NFR-Accessibility</x:v>
      </x:c>
    </x:row>
    <x:row r="72" ht="58" customHeight="1">
      <x:c r="A72" s="8" t="inlineStr">
        <x:is>
          <x:t xml:space="preserve">ECOM-070</x:t>
        </x:is>
      </x:c>
      <x:c r="B72" s="8" t="inlineStr">
        <x:is>
          <x:t xml:space="preserve">S10</x:t>
        </x:is>
      </x:c>
      <x:c r="C72" s="8" t="inlineStr">
        <x:is>
          <x:t xml:space="preserve">SEO</x:t>
        </x:is>
      </x:c>
      <x:c r="D72" s="8" t="inlineStr">
        <x:is>
          <x:t xml:space="preserve">Run technical SEO and crawl audit</x:t>
        </x:is>
      </x:c>
      <x:c r="E72" s="8" t="inlineStr">
        <x:is>
          <x:t xml:space="preserve">Check indexability, canonical, sitemap, robots, metadata, structured data, redirects and duplicate URL handling.</x:t>
        </x:is>
      </x:c>
      <x:c r="F72" s="8" t="inlineStr">
        <x:is>
          <x:t xml:space="preserve">Key public URLs crawl successfully; checkout/account/admin are noindex; broken canonical/robots issues fixed.</x:t>
        </x:is>
      </x:c>
      <x:c r="G72" s="9" t="inlineStr">
        <x:is>
          <x:t xml:space="preserve">P0</x:t>
        </x:is>
      </x:c>
      <x:c r="H72" s="8" t="inlineStr">
        <x:is>
          <x:t xml:space="preserve">SEO / Frontend</x:t>
        </x:is>
      </x:c>
      <x:c r="I72" s="8" t="n">
        <x:v>5</x:v>
      </x:c>
      <x:c r="J72" s="8" t="inlineStr">
        <x:is>
          <x:t xml:space="preserve">None</x:t>
        </x:is>
      </x:c>
      <x:c r="K72" s="8" t="inlineStr">
        <x:is>
          <x:t xml:space="preserve">Not Started</x:t>
        </x:is>
      </x:c>
      <x:c r="L72" s="8" t="inlineStr">
        <x:is>
          <x:t xml:space="preserve">Refine with PM; add implementation subtasks and test evidence.</x:t>
        </x:is>
      </x:c>
      <x:c r="M72" s="55" t="str">
        <x:v>CAT-08; NFR-SEO</x:v>
      </x:c>
    </x:row>
    <x:row r="73" ht="58" customHeight="1">
      <x:c r="A73" s="8" t="inlineStr">
        <x:is>
          <x:t xml:space="preserve">ECOM-071</x:t>
        </x:is>
      </x:c>
      <x:c r="B73" s="8" t="inlineStr">
        <x:is>
          <x:t xml:space="preserve">S10</x:t>
        </x:is>
      </x:c>
      <x:c r="C73" s="8" t="inlineStr">
        <x:is>
          <x:t xml:space="preserve">Observability</x:t>
        </x:is>
      </x:c>
      <x:c r="D73" s="8" t="inlineStr">
        <x:is>
          <x:t xml:space="preserve">Add metrics, dashboards and alerts</x:t>
        </x:is>
      </x:c>
      <x:c r="E73" s="8" t="inlineStr">
        <x:is>
          <x:t xml:space="preserve">Track request latency/error rate, service health, checkout failures, payment webhook lag, queue depth and DB saturation.</x:t>
        </x:is>
      </x:c>
      <x:c r="F73" s="8" t="inlineStr">
        <x:is>
          <x:t xml:space="preserve">Alerts route to named on-call channel; runbook links included; logs have correlation IDs and redact PII.</x:t>
        </x:is>
      </x:c>
      <x:c r="G73" s="9" t="inlineStr">
        <x:is>
          <x:t xml:space="preserve">P0</x:t>
        </x:is>
      </x:c>
      <x:c r="H73" s="8" t="inlineStr">
        <x:is>
          <x:t xml:space="preserve">Cloud / Backend</x:t>
        </x:is>
      </x:c>
      <x:c r="I73" s="8" t="n">
        <x:v>8</x:v>
      </x:c>
      <x:c r="J73" s="8" t="inlineStr">
        <x:is>
          <x:t xml:space="preserve">None</x:t>
        </x:is>
      </x:c>
      <x:c r="K73" s="8" t="inlineStr">
        <x:is>
          <x:t xml:space="preserve">Not Started</x:t>
        </x:is>
      </x:c>
      <x:c r="L73" s="8" t="inlineStr">
        <x:is>
          <x:t xml:space="preserve">Refine with PM; add implementation subtasks and test evidence.</x:t>
        </x:is>
      </x:c>
      <x:c r="M73" s="55" t="str">
        <x:v>PLAT-01; NFR-Observability</x:v>
      </x:c>
    </x:row>
    <x:row r="74" ht="58" customHeight="1">
      <x:c r="A74" s="8" t="inlineStr">
        <x:is>
          <x:t xml:space="preserve">ECOM-072</x:t>
        </x:is>
      </x:c>
      <x:c r="B74" s="8" t="inlineStr">
        <x:is>
          <x:t xml:space="preserve">S10</x:t>
        </x:is>
      </x:c>
      <x:c r="C74" s="8" t="inlineStr">
        <x:is>
          <x:t xml:space="preserve">Delivery</x:t>
        </x:is>
      </x:c>
      <x:c r="D74" s="8" t="inlineStr">
        <x:is>
          <x:t xml:space="preserve">Implement production deployment and rollback pipeline</x:t>
        </x:is>
      </x:c>
      <x:c r="E74" s="8" t="inlineStr">
        <x:is>
          <x:t xml:space="preserve">Configure protected production promotion, migrations, smoke tests, deployment health checks and rollback process.</x:t>
        </x:is>
      </x:c>
      <x:c r="F74" s="8" t="inlineStr">
        <x:is>
          <x:t xml:space="preserve">Release can be deployed with documented steps; rollback rehearsal works; approvals and secrets are gated.</x:t>
        </x:is>
      </x:c>
      <x:c r="G74" s="9" t="inlineStr">
        <x:is>
          <x:t xml:space="preserve">P0</x:t>
        </x:is>
      </x:c>
      <x:c r="H74" s="8" t="inlineStr">
        <x:is>
          <x:t xml:space="preserve">DevOps</x:t>
        </x:is>
      </x:c>
      <x:c r="I74" s="8" t="n">
        <x:v>8</x:v>
      </x:c>
      <x:c r="J74" s="8" t="inlineStr">
        <x:is>
          <x:t xml:space="preserve">None</x:t>
        </x:is>
      </x:c>
      <x:c r="K74" s="8" t="inlineStr">
        <x:is>
          <x:t xml:space="preserve">Not Started</x:t>
        </x:is>
      </x:c>
      <x:c r="L74" s="8" t="inlineStr">
        <x:is>
          <x:t xml:space="preserve">Refine with PM; add implementation subtasks and test evidence.</x:t>
        </x:is>
      </x:c>
      <x:c r="M74" s="55" t="str">
        <x:v>Release Gates; NFR-Resilience</x:v>
      </x:c>
    </x:row>
    <x:row r="75" ht="58" customHeight="1">
      <x:c r="A75" s="8" t="inlineStr">
        <x:is>
          <x:t xml:space="preserve">ECOM-073</x:t>
        </x:is>
      </x:c>
      <x:c r="B75" s="8" t="inlineStr">
        <x:is>
          <x:t xml:space="preserve">S10</x:t>
        </x:is>
      </x:c>
      <x:c r="C75" s="8" t="inlineStr">
        <x:is>
          <x:t xml:space="preserve">Resilience</x:t>
        </x:is>
      </x:c>
      <x:c r="D75" s="8" t="inlineStr">
        <x:is>
          <x:t xml:space="preserve">Test backups and restoration</x:t>
        </x:is>
      </x:c>
      <x:c r="E75" s="8" t="inlineStr">
        <x:is>
          <x:t xml:space="preserve">Confirm automated backups/retention; restore into isolated environment; document RPO/RTO targets.</x:t>
        </x:is>
      </x:c>
      <x:c r="F75" s="8" t="inlineStr">
        <x:is>
          <x:t xml:space="preserve">Restore produces usable application data; evidence and actual recovery time recorded.</x:t>
        </x:is>
      </x:c>
      <x:c r="G75" s="9" t="inlineStr">
        <x:is>
          <x:t xml:space="preserve">P0</x:t>
        </x:is>
      </x:c>
      <x:c r="H75" s="8" t="inlineStr">
        <x:is>
          <x:t xml:space="preserve">Cloud / Data</x:t>
        </x:is>
      </x:c>
      <x:c r="I75" s="8" t="n">
        <x:v>5</x:v>
      </x:c>
      <x:c r="J75" s="8" t="inlineStr">
        <x:is>
          <x:t xml:space="preserve">None</x:t>
        </x:is>
      </x:c>
      <x:c r="K75" s="8" t="inlineStr">
        <x:is>
          <x:t xml:space="preserve">Not Started</x:t>
        </x:is>
      </x:c>
      <x:c r="L75" s="8" t="inlineStr">
        <x:is>
          <x:t xml:space="preserve">Refine with PM; add implementation subtasks and test evidence.</x:t>
        </x:is>
      </x:c>
      <x:c r="M75" s="55" t="str">
        <x:v>NFR-Recovery; NFR-Reliability</x:v>
      </x:c>
    </x:row>
    <x:row r="76" ht="58" customHeight="1">
      <x:c r="A76" s="8" t="inlineStr">
        <x:is>
          <x:t xml:space="preserve">ECOM-074</x:t>
        </x:is>
      </x:c>
      <x:c r="B76" s="8" t="inlineStr">
        <x:is>
          <x:t xml:space="preserve">S11</x:t>
        </x:is>
      </x:c>
      <x:c r="C76" s="8" t="inlineStr">
        <x:is>
          <x:t xml:space="preserve">UAT</x:t>
        </x:is>
      </x:c>
      <x:c r="D76" s="8" t="inlineStr">
        <x:is>
          <x:t xml:space="preserve">Execute business UAT and capture sign-off</x:t>
        </x:is>
      </x:c>
      <x:c r="E76" s="8" t="inlineStr">
        <x:is>
          <x:t xml:space="preserve">Run scenarios with product, operations and support; log defects with severity and evidence.</x:t>
        </x:is>
      </x:c>
      <x:c r="F76" s="8" t="inlineStr">
        <x:is>
          <x:t xml:space="preserve">All P0 scenarios passed; owner signs off or documents accepted known issues.</x:t>
        </x:is>
      </x:c>
      <x:c r="G76" s="9" t="inlineStr">
        <x:is>
          <x:t xml:space="preserve">P0</x:t>
        </x:is>
      </x:c>
      <x:c r="H76" s="8" t="inlineStr">
        <x:is>
          <x:t xml:space="preserve">PM / QA</x:t>
        </x:is>
      </x:c>
      <x:c r="I76" s="8" t="n">
        <x:v>8</x:v>
      </x:c>
      <x:c r="J76" s="8" t="inlineStr">
        <x:is>
          <x:t xml:space="preserve">None</x:t>
        </x:is>
      </x:c>
      <x:c r="K76" s="8" t="inlineStr">
        <x:is>
          <x:t xml:space="preserve">Not Started</x:t>
        </x:is>
      </x:c>
      <x:c r="L76" s="8" t="inlineStr">
        <x:is>
          <x:t xml:space="preserve">Refine with PM; add implementation subtasks and test evidence.</x:t>
        </x:is>
      </x:c>
      <x:c r="M76" s="55" t="str">
        <x:v>NFR-Testing; Release Gates</x:v>
      </x:c>
    </x:row>
    <x:row r="77" ht="58" customHeight="1">
      <x:c r="A77" s="8" t="inlineStr">
        <x:is>
          <x:t xml:space="preserve">ECOM-075</x:t>
        </x:is>
      </x:c>
      <x:c r="B77" s="8" t="inlineStr">
        <x:is>
          <x:t xml:space="preserve">S11</x:t>
        </x:is>
      </x:c>
      <x:c r="C77" s="8" t="inlineStr">
        <x:is>
          <x:t xml:space="preserve">Release</x:t>
        </x:is>
      </x:c>
      <x:c r="D77" s="8" t="inlineStr">
        <x:is>
          <x:t xml:space="preserve">Rehearse production migration and cutover</x:t>
        </x:is>
      </x:c>
      <x:c r="E77" s="8" t="inlineStr">
        <x:is>
          <x:t xml:space="preserve">Validate schema migration sequence, opening inventory import, product content load, cache/CDN invalidation and rollback.</x:t>
        </x:is>
      </x:c>
      <x:c r="F77" s="8" t="inlineStr">
        <x:is>
          <x:t xml:space="preserve">Rehearsal completes within planned window; checksums/counts and rollback path verified.</x:t>
        </x:is>
      </x:c>
      <x:c r="G77" s="9" t="inlineStr">
        <x:is>
          <x:t xml:space="preserve">P0</x:t>
        </x:is>
      </x:c>
      <x:c r="H77" s="8" t="inlineStr">
        <x:is>
          <x:t xml:space="preserve">DevOps / Data</x:t>
        </x:is>
      </x:c>
      <x:c r="I77" s="8" t="n">
        <x:v>5</x:v>
      </x:c>
      <x:c r="J77" s="8" t="inlineStr">
        <x:is>
          <x:t xml:space="preserve">None</x:t>
        </x:is>
      </x:c>
      <x:c r="K77" s="8" t="inlineStr">
        <x:is>
          <x:t xml:space="preserve">Not Started</x:t>
        </x:is>
      </x:c>
      <x:c r="L77" s="8" t="inlineStr">
        <x:is>
          <x:t xml:space="preserve">Refine with PM; add implementation subtasks and test evidence.</x:t>
        </x:is>
      </x:c>
      <x:c r="M77" s="55" t="str">
        <x:v>Release Gates; NFR-Resilience</x:v>
      </x:c>
    </x:row>
    <x:row r="78" ht="58" customHeight="1">
      <x:c r="A78" s="8" t="inlineStr">
        <x:is>
          <x:t xml:space="preserve">ECOM-076</x:t>
        </x:is>
      </x:c>
      <x:c r="B78" s="8" t="inlineStr">
        <x:is>
          <x:t xml:space="preserve">S11</x:t>
        </x:is>
      </x:c>
      <x:c r="C78" s="8" t="inlineStr">
        <x:is>
          <x:t xml:space="preserve">Payments</x:t>
        </x:is>
      </x:c>
      <x:c r="D78" s="8" t="inlineStr">
        <x:is>
          <x:t xml:space="preserve">Validate provider live-mode readiness</x:t>
        </x:is>
      </x:c>
      <x:c r="E78" s="8" t="inlineStr">
        <x:is>
          <x:t xml:space="preserve">Confirm production account approvals, callback URLs, webhook secrets, refund capability and reconciliation process.</x:t>
        </x:is>
      </x:c>
      <x:c r="F78" s="8" t="inlineStr">
        <x:is>
          <x:t xml:space="preserve">A controlled low-value live transaction/refund is verified if allowed by provider/business; evidence retained securely.</x:t>
        </x:is>
      </x:c>
      <x:c r="G78" s="9" t="inlineStr">
        <x:is>
          <x:t xml:space="preserve">P0</x:t>
        </x:is>
      </x:c>
      <x:c r="H78" s="8" t="inlineStr">
        <x:is>
          <x:t xml:space="preserve">Backend / Finance Ops</x:t>
        </x:is>
      </x:c>
      <x:c r="I78" s="8" t="n">
        <x:v>5</x:v>
      </x:c>
      <x:c r="J78" s="8" t="inlineStr">
        <x:is>
          <x:t xml:space="preserve">None</x:t>
        </x:is>
      </x:c>
      <x:c r="K78" s="8" t="inlineStr">
        <x:is>
          <x:t xml:space="preserve">Not Started</x:t>
        </x:is>
      </x:c>
      <x:c r="L78" s="8" t="inlineStr">
        <x:is>
          <x:t xml:space="preserve">Refine with PM; add implementation subtasks and test evidence.</x:t>
        </x:is>
      </x:c>
      <x:c r="M78" s="55" t="str">
        <x:v>PAY-01; PAY-02; PAY-04</x:v>
      </x:c>
    </x:row>
    <x:row r="79" ht="58" customHeight="1">
      <x:c r="A79" s="8" t="inlineStr">
        <x:is>
          <x:t xml:space="preserve">ECOM-077</x:t>
        </x:is>
      </x:c>
      <x:c r="B79" s="8" t="inlineStr">
        <x:is>
          <x:t xml:space="preserve">S11</x:t>
        </x:is>
      </x:c>
      <x:c r="C79" s="8" t="inlineStr">
        <x:is>
          <x:t xml:space="preserve">Operations</x:t>
        </x:is>
      </x:c>
      <x:c r="D79" s="8" t="inlineStr">
        <x:is>
          <x:t xml:space="preserve">Finalize support runbooks and escalation map</x:t>
        </x:is>
      </x:c>
      <x:c r="E79" s="8" t="inlineStr">
        <x:is>
          <x:t xml:space="preserve">Document order/payment issue triage, refund steps, inventory correction, incident communications and escalation ownership.</x:t>
        </x:is>
      </x:c>
      <x:c r="F79" s="8" t="inlineStr">
        <x:is>
          <x:t xml:space="preserve">Support staff complete walkthrough; no manual procedure requires direct DB editing for routine operations.</x:t>
        </x:is>
      </x:c>
      <x:c r="G79" s="9" t="inlineStr">
        <x:is>
          <x:t xml:space="preserve">P0</x:t>
        </x:is>
      </x:c>
      <x:c r="H79" s="8" t="inlineStr">
        <x:is>
          <x:t xml:space="preserve">Ops / PM</x:t>
        </x:is>
      </x:c>
      <x:c r="I79" s="8" t="n">
        <x:v>5</x:v>
      </x:c>
      <x:c r="J79" s="8" t="inlineStr">
        <x:is>
          <x:t xml:space="preserve">None</x:t>
        </x:is>
      </x:c>
      <x:c r="K79" s="8" t="inlineStr">
        <x:is>
          <x:t xml:space="preserve">Not Started</x:t>
        </x:is>
      </x:c>
      <x:c r="L79" s="8" t="inlineStr">
        <x:is>
          <x:t xml:space="preserve">Refine with PM; add implementation subtasks and test evidence.</x:t>
        </x:is>
      </x:c>
      <x:c r="M79" s="55" t="str">
        <x:v>PRD review / cross-cutting</x:v>
      </x:c>
    </x:row>
    <x:row r="80" ht="58" customHeight="1">
      <x:c r="A80" s="8" t="inlineStr">
        <x:is>
          <x:t xml:space="preserve">ECOM-078</x:t>
        </x:is>
      </x:c>
      <x:c r="B80" s="8" t="inlineStr">
        <x:is>
          <x:t xml:space="preserve">S11</x:t>
        </x:is>
      </x:c>
      <x:c r="C80" s="8" t="inlineStr">
        <x:is>
          <x:t xml:space="preserve">Analytics</x:t>
        </x:is>
      </x:c>
      <x:c r="D80" s="8" t="inlineStr">
        <x:is>
          <x:t xml:space="preserve">Verify product and funnel analytics</x:t>
        </x:is>
      </x:c>
      <x:c r="E80" s="8" t="inlineStr">
        <x:is>
          <x:t xml:space="preserve">Validate product view, search, add-to-cart, checkout start, payment result, purchase and refund events.</x:t>
        </x:is>
      </x:c>
      <x:c r="F80" s="8" t="inlineStr">
        <x:is>
          <x:t xml:space="preserve">Events fire once per intended action; no payment details/PII in analytics payload; dashboards validated.</x:t>
        </x:is>
      </x:c>
      <x:c r="G80" s="8" t="inlineStr">
        <x:is>
          <x:t xml:space="preserve">P1</x:t>
        </x:is>
      </x:c>
      <x:c r="H80" s="8" t="inlineStr">
        <x:is>
          <x:t xml:space="preserve">Data / Frontend</x:t>
        </x:is>
      </x:c>
      <x:c r="I80" s="8" t="n">
        <x:v>5</x:v>
      </x:c>
      <x:c r="J80" s="8" t="inlineStr">
        <x:is>
          <x:t xml:space="preserve">None</x:t>
        </x:is>
      </x:c>
      <x:c r="K80" s="8" t="inlineStr">
        <x:is>
          <x:t xml:space="preserve">Not Started</x:t>
        </x:is>
      </x:c>
      <x:c r="L80" s="8" t="inlineStr">
        <x:is>
          <x:t xml:space="preserve">Refine with PM; add implementation subtasks and test evidence.</x:t>
        </x:is>
      </x:c>
      <x:c r="M80" s="55" t="str">
        <x:v>ANA-01; ANA-02</x:v>
      </x:c>
    </x:row>
    <x:row r="81" ht="58" customHeight="1">
      <x:c r="A81" s="8" t="inlineStr">
        <x:is>
          <x:t xml:space="preserve">ECOM-079</x:t>
        </x:is>
      </x:c>
      <x:c r="B81" s="8" t="inlineStr">
        <x:is>
          <x:t xml:space="preserve">S11</x:t>
        </x:is>
      </x:c>
      <x:c r="C81" s="8" t="inlineStr">
        <x:is>
          <x:t xml:space="preserve">Release</x:t>
        </x:is>
      </x:c>
      <x:c r="D81" s="8" t="inlineStr">
        <x:is>
          <x:t xml:space="preserve">Conduct go/no-go review and release approval</x:t>
        </x:is>
      </x:c>
      <x:c r="E81" s="8" t="inlineStr">
        <x:is>
          <x:t xml:space="preserve">Review release gates, open issues, monitoring, traffic plan, content, support, rollback and stakeholders.</x:t>
        </x:is>
      </x:c>
      <x:c r="F81" s="8" t="inlineStr">
        <x:is>
          <x:t xml:space="preserve">Named approvers record go/no-go; launch owner and incident commander assigned.</x:t>
        </x:is>
      </x:c>
      <x:c r="G81" s="9" t="inlineStr">
        <x:is>
          <x:t xml:space="preserve">P0</x:t>
        </x:is>
      </x:c>
      <x:c r="H81" s="8" t="inlineStr">
        <x:is>
          <x:t xml:space="preserve">PM / Engineering Lead</x:t>
        </x:is>
      </x:c>
      <x:c r="I81" s="8" t="n">
        <x:v>3</x:v>
      </x:c>
      <x:c r="J81" s="8" t="inlineStr">
        <x:is>
          <x:t xml:space="preserve">None</x:t>
        </x:is>
      </x:c>
      <x:c r="K81" s="8" t="inlineStr">
        <x:is>
          <x:t xml:space="preserve">Not Started</x:t>
        </x:is>
      </x:c>
      <x:c r="L81" s="8" t="inlineStr">
        <x:is>
          <x:t xml:space="preserve">Refine with PM; add implementation subtasks and test evidence.</x:t>
        </x:is>
      </x:c>
      <x:c r="M81" s="55" t="str">
        <x:v>Release Gates; NFR-Resilience</x:v>
      </x:c>
    </x:row>
    <x:row r="82" ht="58" customHeight="1">
      <x:c r="A82" s="8" t="inlineStr">
        <x:is>
          <x:t xml:space="preserve">ECOM-080</x:t>
        </x:is>
      </x:c>
      <x:c r="B82" s="8" t="inlineStr">
        <x:is>
          <x:t xml:space="preserve">R</x:t>
        </x:is>
      </x:c>
      <x:c r="C82" s="8" t="inlineStr">
        <x:is>
          <x:t xml:space="preserve">Launch</x:t>
        </x:is>
      </x:c>
      <x:c r="D82" s="8" t="inlineStr">
        <x:is>
          <x:t xml:space="preserve">Deploy approved production release</x:t>
        </x:is>
      </x:c>
      <x:c r="E82" s="8" t="inlineStr">
        <x:is>
          <x:t xml:space="preserve">Promote signed candidate using controlled rollout and observe core service health.</x:t>
        </x:is>
      </x:c>
      <x:c r="F82" s="8" t="inlineStr">
        <x:is>
          <x:t xml:space="preserve">Deployment version recorded; smoke tests pass; rollback remains available.</x:t>
        </x:is>
      </x:c>
      <x:c r="G82" s="9" t="inlineStr">
        <x:is>
          <x:t xml:space="preserve">P0</x:t>
        </x:is>
      </x:c>
      <x:c r="H82" s="8" t="inlineStr">
        <x:is>
          <x:t xml:space="preserve">DevOps / Engineering</x:t>
        </x:is>
      </x:c>
      <x:c r="I82" s="8" t="n">
        <x:v>5</x:v>
      </x:c>
      <x:c r="J82" s="8" t="inlineStr">
        <x:is>
          <x:t xml:space="preserve">None</x:t>
        </x:is>
      </x:c>
      <x:c r="K82" s="8" t="inlineStr">
        <x:is>
          <x:t xml:space="preserve">Not Started</x:t>
        </x:is>
      </x:c>
      <x:c r="L82" s="8" t="inlineStr">
        <x:is>
          <x:t xml:space="preserve">Refine with PM; add implementation subtasks and test evidence.</x:t>
        </x:is>
      </x:c>
      <x:c r="M82" s="55" t="str">
        <x:v>Release Gates; NFR-Resilience</x:v>
      </x:c>
    </x:row>
    <x:row r="83" ht="58" customHeight="1">
      <x:c r="A83" s="8" t="inlineStr">
        <x:is>
          <x:t xml:space="preserve">ECOM-081</x:t>
        </x:is>
      </x:c>
      <x:c r="B83" s="8" t="inlineStr">
        <x:is>
          <x:t xml:space="preserve">R</x:t>
        </x:is>
      </x:c>
      <x:c r="C83" s="8" t="inlineStr">
        <x:is>
          <x:t xml:space="preserve">Launch</x:t>
        </x:is>
      </x:c>
      <x:c r="D83" s="8" t="inlineStr">
        <x:is>
          <x:t xml:space="preserve">Run production purchase smoke test</x:t>
        </x:is>
      </x:c>
      <x:c r="E83" s="8" t="inlineStr">
        <x:is>
          <x:t xml:space="preserve">Place an agreed test order, verify payment event, order state, email, inventory decrement and refund/cancel as appropriate.</x:t>
        </x:is>
      </x:c>
      <x:c r="F83" s="8" t="inlineStr">
        <x:is>
          <x:t xml:space="preserve">Order and payment reconcile end-to-end; test artifacts retained; no data leakage.</x:t>
        </x:is>
      </x:c>
      <x:c r="G83" s="9" t="inlineStr">
        <x:is>
          <x:t xml:space="preserve">P0</x:t>
        </x:is>
      </x:c>
      <x:c r="H83" s="8" t="inlineStr">
        <x:is>
          <x:t xml:space="preserve">QA / Finance Ops</x:t>
        </x:is>
      </x:c>
      <x:c r="I83" s="8" t="n">
        <x:v>3</x:v>
      </x:c>
      <x:c r="J83" s="8" t="inlineStr">
        <x:is>
          <x:t xml:space="preserve">None</x:t>
        </x:is>
      </x:c>
      <x:c r="K83" s="8" t="inlineStr">
        <x:is>
          <x:t xml:space="preserve">Not Started</x:t>
        </x:is>
      </x:c>
      <x:c r="L83" s="8" t="inlineStr">
        <x:is>
          <x:t xml:space="preserve">Refine with PM; add implementation subtasks and test evidence.</x:t>
        </x:is>
      </x:c>
      <x:c r="M83" s="55" t="str">
        <x:v>Release Gates; NFR-Resilience</x:v>
      </x:c>
    </x:row>
    <x:row r="84" ht="58" customHeight="1">
      <x:c r="A84" s="8" t="inlineStr">
        <x:is>
          <x:t xml:space="preserve">ECOM-082</x:t>
        </x:is>
      </x:c>
      <x:c r="B84" s="8" t="inlineStr">
        <x:is>
          <x:t xml:space="preserve">R</x:t>
        </x:is>
      </x:c>
      <x:c r="C84" s="8" t="inlineStr">
        <x:is>
          <x:t xml:space="preserve">Launch</x:t>
        </x:is>
      </x:c>
      <x:c r="D84" s="8" t="inlineStr">
        <x:is>
          <x:t xml:space="preserve">Monitor launch metrics and triage incidents</x:t>
        </x:is>
      </x:c>
      <x:c r="E84" s="8" t="inlineStr">
        <x:is>
          <x:t xml:space="preserve">Monitor errors, latency, checkout conversion, payment failures, queue lag and support contacts during launch window.</x:t>
        </x:is>
      </x:c>
      <x:c r="F84" s="8" t="inlineStr">
        <x:is>
          <x:t xml:space="preserve">Incident thresholds and response owners active; high-severity issues follow rollback/escalation playbook.</x:t>
        </x:is>
      </x:c>
      <x:c r="G84" s="9" t="inlineStr">
        <x:is>
          <x:t xml:space="preserve">P0</x:t>
        </x:is>
      </x:c>
      <x:c r="H84" s="8" t="inlineStr">
        <x:is>
          <x:t xml:space="preserve">Engineering / Ops</x:t>
        </x:is>
      </x:c>
      <x:c r="I84" s="8" t="n">
        <x:v>5</x:v>
      </x:c>
      <x:c r="J84" s="8" t="inlineStr">
        <x:is>
          <x:t xml:space="preserve">None</x:t>
        </x:is>
      </x:c>
      <x:c r="K84" s="8" t="inlineStr">
        <x:is>
          <x:t xml:space="preserve">Not Started</x:t>
        </x:is>
      </x:c>
      <x:c r="L84" s="8" t="inlineStr">
        <x:is>
          <x:t xml:space="preserve">Refine with PM; add implementation subtasks and test evidence.</x:t>
        </x:is>
      </x:c>
      <x:c r="M84" s="55" t="str">
        <x:v>Release Gates; NFR-Resilience</x:v>
      </x:c>
    </x:row>
  </x:sheetData>
  <x:mergeCells>
    <x:mergeCell ref="A1:L1"/>
  </x:mergeCells>
  <x:conditionalFormatting sqref="K3:K84">
    <x:cfRule type="expression" dxfId="0" priority="1">
      <x:formula>K3="Blocked"</x:formula>
    </x:cfRule>
    <x:cfRule type="expression" dxfId="1" priority="2">
      <x:formula>K3="Done"</x:formula>
    </x:cfRule>
  </x:conditionalFormatting>
  <x:dataValidations count="2">
    <x:dataValidation type="list" allowBlank="0" showDropDown="0" showInputMessage="0" showErrorMessage="0" sqref="K3:K84">
      <x:formula1>"Not Started,Ready,In Progress,Blocked,In Review,QA,Done,Deferred"</x:formula1>
    </x:dataValidation>
    <x:dataValidation type="list" allowBlank="0" showDropDown="0" showInputMessage="0" showErrorMessage="0" sqref="G3:G84">
      <x:formula1>"P0,P1,P2"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4" customWidth="1"/>
    <x:col min="2" max="2" width="38" customWidth="1"/>
    <x:col min="3" max="3" width="44" customWidth="1"/>
    <x:col min="4" max="4" width="66" customWidth="1"/>
    <x:col min="5" max="5" width="26" customWidth="1"/>
    <x:col min="6" max="6" width="20" customWidth="1"/>
  </x:cols>
  <x:sheetData>
    <x:row r="1" ht="30" customHeight="1">
      <x:c r="A1" s="10" t="inlineStr">
        <x:is>
          <x:t xml:space="preserve">RISKS, DEPENDENCIES &amp; DECISIONS</x:t>
        </x:is>
      </x:c>
    </x:row>
    <x:row r="2">
      <x:c r="A2" s="11" t="inlineStr">
        <x:is>
          <x:t xml:space="preserve">Type</x:t>
        </x:is>
      </x:c>
      <x:c r="B2" s="11" t="inlineStr">
        <x:is>
          <x:t xml:space="preserve">Item</x:t>
        </x:is>
      </x:c>
      <x:c r="C2" s="11" t="inlineStr">
        <x:is>
          <x:t xml:space="preserve">Impact</x:t>
        </x:is>
      </x:c>
      <x:c r="D2" s="11" t="inlineStr">
        <x:is>
          <x:t xml:space="preserve">Mitigation / Required action</x:t>
        </x:is>
      </x:c>
      <x:c r="E2" s="11" t="inlineStr">
        <x:is>
          <x:t xml:space="preserve">Owner</x:t>
        </x:is>
      </x:c>
      <x:c r="F2" s="11" t="inlineStr">
        <x:is>
          <x:t xml:space="preserve">Due</x:t>
        </x:is>
      </x:c>
    </x:row>
    <x:row r="3" ht="54" customHeight="1">
      <x:c r="A3" s="3" t="inlineStr">
        <x:is>
          <x:t xml:space="preserve">Decision</x:t>
        </x:is>
      </x:c>
      <x:c r="B3" s="3" t="inlineStr">
        <x:is>
          <x:t xml:space="preserve">Launch market, currency, locale and tax display</x:t>
        </x:is>
      </x:c>
      <x:c r="C3" s="3" t="inlineStr">
        <x:is>
          <x:t xml:space="preserve">Can block pricing, checkout, invoices, content and QA</x:t>
        </x:is>
      </x:c>
      <x:c r="D3" s="3" t="inlineStr">
        <x:is>
          <x:t xml:space="preserve">Select market/currency; approve tax-inclusive/exclusive and address fields</x:t>
        </x:is>
      </x:c>
      <x:c r="E3" s="3" t="inlineStr">
        <x:is>
          <x:t xml:space="preserve">PM / Finance / Legal</x:t>
        </x:is>
      </x:c>
      <x:c r="F3" s="3" t="inlineStr">
        <x:is>
          <x:t xml:space="preserve">End S1</x:t>
        </x:is>
      </x:c>
    </x:row>
    <x:row r="4" ht="54" customHeight="1">
      <x:c r="A4" s="3" t="inlineStr">
        <x:is>
          <x:t xml:space="preserve">Decision</x:t>
        </x:is>
      </x:c>
      <x:c r="B4" s="3" t="inlineStr">
        <x:is>
          <x:t xml:space="preserve">Payment provider and live account</x:t>
        </x:is>
      </x:c>
      <x:c r="C4" s="3" t="inlineStr">
        <x:is>
          <x:t xml:space="preserve">Blocks checkout, webhook/refund behavior and launch smoke test</x:t>
        </x:is>
      </x:c>
      <x:c r="D4" s="3" t="inlineStr">
        <x:is>
          <x:t xml:space="preserve">Choose provider; enable sandbox; confirm production onboarding and refund APIs</x:t>
        </x:is>
      </x:c>
      <x:c r="E4" s="3" t="inlineStr">
        <x:is>
          <x:t xml:space="preserve">PM / Finance / Backend</x:t>
        </x:is>
      </x:c>
      <x:c r="F4" s="3" t="inlineStr">
        <x:is>
          <x:t xml:space="preserve">End S1</x:t>
        </x:is>
      </x:c>
    </x:row>
    <x:row r="5" ht="54" customHeight="1">
      <x:c r="A5" s="3" t="inlineStr">
        <x:is>
          <x:t xml:space="preserve">Decision</x:t>
        </x:is>
      </x:c>
      <x:c r="B5" s="3" t="inlineStr">
        <x:is>
          <x:t xml:space="preserve">Shipping coverage, cost and delivery estimates</x:t>
        </x:is>
      </x:c>
      <x:c r="C5" s="3" t="inlineStr">
        <x:is>
          <x:t xml:space="preserve">Blocks checkout totals and delivery promises</x:t>
        </x:is>
      </x:c>
      <x:c r="D5" s="3" t="inlineStr">
        <x:is>
          <x:t xml:space="preserve">Approve serviceable regions, shipping methods, rules, costs and tracking approach</x:t>
        </x:is>
      </x:c>
      <x:c r="E5" s="3" t="inlineStr">
        <x:is>
          <x:t xml:space="preserve">PM / Operations</x:t>
        </x:is>
      </x:c>
      <x:c r="F5" s="3" t="inlineStr">
        <x:is>
          <x:t xml:space="preserve">End S1</x:t>
        </x:is>
      </x:c>
    </x:row>
    <x:row r="6" ht="54" customHeight="1">
      <x:c r="A6" s="3" t="inlineStr">
        <x:is>
          <x:t xml:space="preserve">Decision</x:t>
        </x:is>
      </x:c>
      <x:c r="B6" s="3" t="inlineStr">
        <x:is>
          <x:t xml:space="preserve">Cancellation / return / refund policy</x:t>
        </x:is>
      </x:c>
      <x:c r="C6" s="3" t="inlineStr">
        <x:is>
          <x:t xml:space="preserve">Blocks S9 self-service workflows and state transitions</x:t>
        </x:is>
      </x:c>
      <x:c r="D6" s="3" t="inlineStr">
        <x:is>
          <x:t xml:space="preserve">Define cutoff, window, exclusions, approval, restocking, partial refunds and timelines</x:t>
        </x:is>
      </x:c>
      <x:c r="E6" s="3" t="inlineStr">
        <x:is>
          <x:t xml:space="preserve">PM / Operations / Finance</x:t>
        </x:is>
      </x:c>
      <x:c r="F6" s="3" t="inlineStr">
        <x:is>
          <x:t xml:space="preserve">Before S9</x:t>
        </x:is>
      </x:c>
    </x:row>
    <x:row r="7" ht="54" customHeight="1">
      <x:c r="A7" s="3" t="inlineStr">
        <x:is>
          <x:t xml:space="preserve">Risk</x:t>
        </x:is>
      </x:c>
      <x:c r="B7" s="3" t="inlineStr">
        <x:is>
          <x:t xml:space="preserve">Team capacity unknown</x:t>
        </x:is>
      </x:c>
      <x:c r="C7" s="3" t="inlineStr">
        <x:is>
          <x:t xml:space="preserve">Scope and deadline may be unrealistic</x:t>
        </x:is>
      </x:c>
      <x:c r="D7" s="3" t="inlineStr">
        <x:is>
          <x:t xml:space="preserve">Name owners and allocation; use S1–S2 velocity to reforecast; trim P1 before compromising gates</x:t>
        </x:is>
      </x:c>
      <x:c r="E7" s="3" t="inlineStr">
        <x:is>
          <x:t xml:space="preserve">Engineering Lead / PM</x:t>
        </x:is>
      </x:c>
      <x:c r="F7" s="3" t="inlineStr">
        <x:is>
          <x:t xml:space="preserve">End S1</x:t>
        </x:is>
      </x:c>
    </x:row>
    <x:row r="8" ht="54" customHeight="1">
      <x:c r="A8" s="3" t="inlineStr">
        <x:is>
          <x:t xml:space="preserve">Risk</x:t>
        </x:is>
      </x:c>
      <x:c r="B8" s="3" t="inlineStr">
        <x:is>
          <x:t xml:space="preserve">Microservices over-fragmentation</x:t>
        </x:is>
      </x:c>
      <x:c r="C8" s="3" t="inlineStr">
        <x:is>
          <x:t xml:space="preserve">Adds deployment and consistency overhead</x:t>
        </x:is>
      </x:c>
      <x:c r="D8" s="3" t="inlineStr">
        <x:is>
          <x:t xml:space="preserve">Use bounded contexts first; split deployment only with a reason and owner</x:t>
        </x:is>
      </x:c>
      <x:c r="E8" s="3" t="inlineStr">
        <x:is>
          <x:t xml:space="preserve">Architect</x:t>
        </x:is>
      </x:c>
      <x:c r="F8" s="3" t="inlineStr">
        <x:is>
          <x:t xml:space="preserve">S1 ADR</x:t>
        </x:is>
      </x:c>
    </x:row>
    <x:row r="9" ht="54" customHeight="1">
      <x:c r="A9" s="3" t="inlineStr">
        <x:is>
          <x:t xml:space="preserve">Risk</x:t>
        </x:is>
      </x:c>
      <x:c r="B9" s="3" t="inlineStr">
        <x:is>
          <x:t xml:space="preserve">Payment webhook duplication/order issues</x:t>
        </x:is>
      </x:c>
      <x:c r="C9" s="3" t="inlineStr">
        <x:is>
          <x:t xml:space="preserve">Incorrect paid/refund state, duplicate email or inventory effects</x:t>
        </x:is>
      </x:c>
      <x:c r="D9" s="3" t="inlineStr">
        <x:is>
          <x:t xml:space="preserve">Signed events, idempotency, event ledger, state machine, replay tests and reconciliation alerts</x:t>
        </x:is>
      </x:c>
      <x:c r="E9" s="3" t="inlineStr">
        <x:is>
          <x:t xml:space="preserve">Backend / QA</x:t>
        </x:is>
      </x:c>
      <x:c r="F9" s="3" t="inlineStr">
        <x:is>
          <x:t xml:space="preserve">S7</x:t>
        </x:is>
      </x:c>
    </x:row>
    <x:row r="10" ht="54" customHeight="1">
      <x:c r="A10" s="3" t="inlineStr">
        <x:is>
          <x:t xml:space="preserve">Risk</x:t>
        </x:is>
      </x:c>
      <x:c r="B10" s="3" t="inlineStr">
        <x:is>
          <x:t xml:space="preserve">Inventory race conditions</x:t>
        </x:is>
      </x:c>
      <x:c r="C10" s="3" t="inlineStr">
        <x:is>
          <x:t xml:space="preserve">Overselling and stranded reservations</x:t>
        </x:is>
      </x:c>
      <x:c r="D10" s="3" t="inlineStr">
        <x:is>
          <x:t xml:space="preserve">Transactional reservations, expiry and concurrency tests</x:t>
        </x:is>
      </x:c>
      <x:c r="E10" s="3" t="inlineStr">
        <x:is>
          <x:t xml:space="preserve">Backend</x:t>
        </x:is>
      </x:c>
      <x:c r="F10" s="3" t="inlineStr">
        <x:is>
          <x:t xml:space="preserve">S6</x:t>
        </x:is>
      </x:c>
    </x:row>
    <x:row r="11" ht="54" customHeight="1">
      <x:c r="A11" s="3" t="inlineStr">
        <x:is>
          <x:t xml:space="preserve">Risk</x:t>
        </x:is>
      </x:c>
      <x:c r="B11" s="3" t="inlineStr">
        <x:is>
          <x:t xml:space="preserve">Product data/content not ready</x:t>
        </x:is>
      </x:c>
      <x:c r="C11" s="3" t="inlineStr">
        <x:is>
          <x:t xml:space="preserve">UAT/launch catalog incomplete</x:t>
        </x:is>
      </x:c>
      <x:c r="D11" s="3" t="inlineStr">
        <x:is>
          <x:t xml:space="preserve">Assign owner, validate import format, define content freeze date and image rights</x:t>
        </x:is>
      </x:c>
      <x:c r="E11" s="3" t="inlineStr">
        <x:is>
          <x:t xml:space="preserve">Product / Content</x:t>
        </x:is>
      </x:c>
      <x:c r="F11" s="3" t="inlineStr">
        <x:is>
          <x:t xml:space="preserve">S3</x:t>
        </x:is>
      </x:c>
    </x:row>
    <x:row r="12" ht="54" customHeight="1">
      <x:c r="A12" s="3" t="inlineStr">
        <x:is>
          <x:t xml:space="preserve">Risk</x:t>
        </x:is>
      </x:c>
      <x:c r="B12" s="3" t="inlineStr">
        <x:is>
          <x:t xml:space="preserve">Holiday capacity reduced</x:t>
        </x:is>
      </x:c>
      <x:c r="C12" s="3" t="inlineStr">
        <x:is>
          <x:t xml:space="preserve">Cart/pricing work may slip</x:t>
        </x:is>
      </x:c>
      <x:c r="D12" s="3" t="inlineStr">
        <x:is>
          <x:t xml:space="preserve">Explicitly reduce S5 capacity; avoid scheduling external approvals then</x:t>
        </x:is>
      </x:c>
      <x:c r="E12" s="3" t="inlineStr">
        <x:is>
          <x:t xml:space="preserve">PM / Engineering Lead</x:t>
        </x:is>
      </x:c>
      <x:c r="F12" s="3" t="inlineStr">
        <x:is>
          <x:t xml:space="preserve">S4 planning</x:t>
        </x:is>
      </x:c>
    </x:row>
    <x:row r="13" ht="54" customHeight="1">
      <x:c r="A13" s="3" t="inlineStr">
        <x:is>
          <x:t xml:space="preserve">Risk</x:t>
        </x:is>
      </x:c>
      <x:c r="B13" s="3" t="inlineStr">
        <x:is>
          <x:t xml:space="preserve">Security findings late in schedule</x:t>
        </x:is>
      </x:c>
      <x:c r="C13" s="3" t="inlineStr">
        <x:is>
          <x:t xml:space="preserve">Launch delay or unsafe go-live</x:t>
        </x:is>
      </x:c>
      <x:c r="D13" s="3" t="inlineStr">
        <x:is>
          <x:t xml:space="preserve">Threat model S1; scan continuously; hardening S10; no unresolved high/critical findings without sign-off</x:t>
        </x:is>
      </x:c>
      <x:c r="E13" s="3" t="inlineStr">
        <x:is>
          <x:t xml:space="preserve">Security / Engineering</x:t>
        </x:is>
      </x:c>
      <x:c r="F13" s="3" t="inlineStr">
        <x:is>
          <x:t xml:space="preserve">All sprints</x:t>
        </x:is>
      </x:c>
    </x:row>
    <x:row r="14" ht="54" customHeight="1">
      <x:c r="A14" s="3" t="inlineStr">
        <x:is>
          <x:t xml:space="preserve">Risk</x:t>
        </x:is>
      </x:c>
      <x:c r="B14" s="3" t="inlineStr">
        <x:is>
          <x:t xml:space="preserve">Operational readiness overlooked</x:t>
        </x:is>
      </x:c>
      <x:c r="C14" s="3" t="inlineStr">
        <x:is>
          <x:t xml:space="preserve">Slow response to incidents/payments/refunds</x:t>
        </x:is>
      </x:c>
      <x:c r="D14" s="3" t="inlineStr">
        <x:is>
          <x:t xml:space="preserve">Alerting, runbooks, backup restore, cutover and rollback rehearsals by S11</x:t>
        </x:is>
      </x:c>
      <x:c r="E14" s="3" t="inlineStr">
        <x:is>
          <x:t xml:space="preserve">Ops / DevOps</x:t>
        </x:is>
      </x:c>
      <x:c r="F14" s="3" t="inlineStr">
        <x:is>
          <x:t xml:space="preserve">S11</x:t>
        </x:is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2" customWidth="1"/>
    <x:col min="2" max="2" width="28" customWidth="1"/>
    <x:col min="3" max="3" width="74" customWidth="1"/>
    <x:col min="4" max="4" width="28" customWidth="1"/>
    <x:col min="5" max="5" width="18" customWidth="1"/>
  </x:cols>
  <x:sheetData>
    <x:row r="1" ht="30" customHeight="1">
      <x:c r="A1" s="10" t="inlineStr">
        <x:is>
          <x:t xml:space="preserve">PRODUCTION LAUNCH CHECKLIST</x:t>
        </x:is>
      </x:c>
    </x:row>
    <x:row r="2">
      <x:c r="A2" s="11" t="inlineStr">
        <x:is>
          <x:t xml:space="preserve">ID</x:t>
        </x:is>
      </x:c>
      <x:c r="B2" s="11" t="inlineStr">
        <x:is>
          <x:t xml:space="preserve">Gate</x:t>
        </x:is>
      </x:c>
      <x:c r="C2" s="11" t="inlineStr">
        <x:is>
          <x:t xml:space="preserve">Pass criteria</x:t>
        </x:is>
      </x:c>
      <x:c r="D2" s="11" t="inlineStr">
        <x:is>
          <x:t xml:space="preserve">Owner role</x:t>
        </x:is>
      </x:c>
      <x:c r="E2" s="11" t="inlineStr">
        <x:is>
          <x:t xml:space="preserve">Status</x:t>
        </x:is>
      </x:c>
    </x:row>
    <x:row r="3" ht="42" customHeight="1">
      <x:c r="A3" s="3" t="inlineStr">
        <x:is>
          <x:t xml:space="preserve">G-01</x:t>
        </x:is>
      </x:c>
      <x:c r="B3" s="3" t="inlineStr">
        <x:is>
          <x:t xml:space="preserve">P0 scope accepted</x:t>
        </x:is>
      </x:c>
      <x:c r="C3" s="3" t="inlineStr">
        <x:is>
          <x:t xml:space="preserve">All P0 requirements implemented and signed off; P1 either complete or deferred</x:t>
        </x:is>
      </x:c>
      <x:c r="D3" s="3" t="inlineStr">
        <x:is>
          <x:t xml:space="preserve">Product Owner / PM</x:t>
        </x:is>
      </x:c>
      <x:c r="E3" s="3" t="inlineStr">
        <x:is>
          <x:t xml:space="preserve">Not Started</x:t>
        </x:is>
      </x:c>
    </x:row>
    <x:row r="4" ht="42" customHeight="1">
      <x:c r="A4" s="3" t="inlineStr">
        <x:is>
          <x:t xml:space="preserve">G-02</x:t>
        </x:is>
      </x:c>
      <x:c r="B4" s="3" t="inlineStr">
        <x:is>
          <x:t xml:space="preserve">Purchase journey</x:t>
        </x:is>
      </x:c>
      <x:c r="C4" s="3" t="inlineStr">
        <x:is>
          <x:t xml:space="preserve">Browse to order success and decline/cancel/retry paths pass in prod-like env</x:t>
        </x:is>
      </x:c>
      <x:c r="D4" s="3" t="inlineStr">
        <x:is>
          <x:t xml:space="preserve">QA / Engineering</x:t>
        </x:is>
      </x:c>
      <x:c r="E4" s="3" t="inlineStr">
        <x:is>
          <x:t xml:space="preserve">Not Started</x:t>
        </x:is>
      </x:c>
    </x:row>
    <x:row r="5" ht="42" customHeight="1">
      <x:c r="A5" s="3" t="inlineStr">
        <x:is>
          <x:t xml:space="preserve">G-03</x:t>
        </x:is>
      </x:c>
      <x:c r="B5" s="3" t="inlineStr">
        <x:is>
          <x:t xml:space="preserve">Payment integrity</x:t>
        </x:is>
      </x:c>
      <x:c r="C5" s="3" t="inlineStr">
        <x:is>
          <x:t xml:space="preserve">Signed webhook, idempotency, refund and reconciliation scenarios have evidence</x:t>
        </x:is>
      </x:c>
      <x:c r="D5" s="3" t="inlineStr">
        <x:is>
          <x:t xml:space="preserve">Backend / Finance Ops</x:t>
        </x:is>
      </x:c>
      <x:c r="E5" s="3" t="inlineStr">
        <x:is>
          <x:t xml:space="preserve">Not Started</x:t>
        </x:is>
      </x:c>
    </x:row>
    <x:row r="6" ht="42" customHeight="1">
      <x:c r="A6" s="3" t="inlineStr">
        <x:is>
          <x:t xml:space="preserve">G-04</x:t>
        </x:is>
      </x:c>
      <x:c r="B6" s="3" t="inlineStr">
        <x:is>
          <x:t xml:space="preserve">Critical defects</x:t>
        </x:is>
      </x:c>
      <x:c r="C6" s="3" t="inlineStr">
        <x:is>
          <x:t xml:space="preserve">Zero open Sev-1/Sev-2 defects</x:t>
        </x:is>
      </x:c>
      <x:c r="D6" s="3" t="inlineStr">
        <x:is>
          <x:t xml:space="preserve">Engineering / QA</x:t>
        </x:is>
      </x:c>
      <x:c r="E6" s="3" t="inlineStr">
        <x:is>
          <x:t xml:space="preserve">Not Started</x:t>
        </x:is>
      </x:c>
    </x:row>
    <x:row r="7" ht="42" customHeight="1">
      <x:c r="A7" s="3" t="inlineStr">
        <x:is>
          <x:t xml:space="preserve">G-05</x:t>
        </x:is>
      </x:c>
      <x:c r="B7" s="3" t="inlineStr">
        <x:is>
          <x:t xml:space="preserve">Security</x:t>
        </x:is>
      </x:c>
      <x:c r="C7" s="3" t="inlineStr">
        <x:is>
          <x:t xml:space="preserve">No unresolved critical/high issue without formal risk acceptance</x:t>
        </x:is>
      </x:c>
      <x:c r="D7" s="3" t="inlineStr">
        <x:is>
          <x:t xml:space="preserve">Security / Engineering Lead</x:t>
        </x:is>
      </x:c>
      <x:c r="E7" s="3" t="inlineStr">
        <x:is>
          <x:t xml:space="preserve">Not Started</x:t>
        </x:is>
      </x:c>
    </x:row>
    <x:row r="8" ht="42" customHeight="1">
      <x:c r="A8" s="3" t="inlineStr">
        <x:is>
          <x:t xml:space="preserve">G-06</x:t>
        </x:is>
      </x:c>
      <x:c r="B8" s="3" t="inlineStr">
        <x:is>
          <x:t xml:space="preserve">Performance</x:t>
        </x:is>
      </x:c>
      <x:c r="C8" s="3" t="inlineStr">
        <x:is>
          <x:t xml:space="preserve">Agreed traffic profile test passes and results are recorded</x:t>
        </x:is>
      </x:c>
      <x:c r="D8" s="3" t="inlineStr">
        <x:is>
          <x:t xml:space="preserve">QA / Backend</x:t>
        </x:is>
      </x:c>
      <x:c r="E8" s="3" t="inlineStr">
        <x:is>
          <x:t xml:space="preserve">Not Started</x:t>
        </x:is>
      </x:c>
    </x:row>
    <x:row r="9" ht="42" customHeight="1">
      <x:c r="A9" s="3" t="inlineStr">
        <x:is>
          <x:t xml:space="preserve">G-07</x:t>
        </x:is>
      </x:c>
      <x:c r="B9" s="3" t="inlineStr">
        <x:is>
          <x:t xml:space="preserve">Accessibility / SEO</x:t>
        </x:is>
      </x:c>
      <x:c r="C9" s="3" t="inlineStr">
        <x:is>
          <x:t xml:space="preserve">Core journey accessibility review and technical SEO crawl pass</x:t>
        </x:is>
      </x:c>
      <x:c r="D9" s="3" t="inlineStr">
        <x:is>
          <x:t xml:space="preserve">Frontend / QA / SEO</x:t>
        </x:is>
      </x:c>
      <x:c r="E9" s="3" t="inlineStr">
        <x:is>
          <x:t xml:space="preserve">Not Started</x:t>
        </x:is>
      </x:c>
    </x:row>
    <x:row r="10" ht="42" customHeight="1">
      <x:c r="A10" s="3" t="inlineStr">
        <x:is>
          <x:t xml:space="preserve">G-08</x:t>
        </x:is>
      </x:c>
      <x:c r="B10" s="3" t="inlineStr">
        <x:is>
          <x:t xml:space="preserve">Data/content</x:t>
        </x:is>
      </x:c>
      <x:c r="C10" s="3" t="inlineStr">
        <x:is>
          <x:t xml:space="preserve">Product catalog, stock and policy/legal content approved and loaded</x:t>
        </x:is>
      </x:c>
      <x:c r="D10" s="3" t="inlineStr">
        <x:is>
          <x:t xml:space="preserve">Product / Operations</x:t>
        </x:is>
      </x:c>
      <x:c r="E10" s="3" t="inlineStr">
        <x:is>
          <x:t xml:space="preserve">Not Started</x:t>
        </x:is>
      </x:c>
    </x:row>
    <x:row r="11" ht="42" customHeight="1">
      <x:c r="A11" s="3" t="inlineStr">
        <x:is>
          <x:t xml:space="preserve">G-09</x:t>
        </x:is>
      </x:c>
      <x:c r="B11" s="3" t="inlineStr">
        <x:is>
          <x:t xml:space="preserve">Observability</x:t>
        </x:is>
      </x:c>
      <x:c r="C11" s="3" t="inlineStr">
        <x:is>
          <x:t xml:space="preserve">Dashboards, alert routing, correlation IDs and on-call ownership active</x:t>
        </x:is>
      </x:c>
      <x:c r="D11" s="3" t="inlineStr">
        <x:is>
          <x:t xml:space="preserve">DevOps / Backend</x:t>
        </x:is>
      </x:c>
      <x:c r="E11" s="3" t="inlineStr">
        <x:is>
          <x:t xml:space="preserve">Not Started</x:t>
        </x:is>
      </x:c>
    </x:row>
    <x:row r="12" ht="42" customHeight="1">
      <x:c r="A12" s="3" t="inlineStr">
        <x:is>
          <x:t xml:space="preserve">G-10</x:t>
        </x:is>
      </x:c>
      <x:c r="B12" s="3" t="inlineStr">
        <x:is>
          <x:t xml:space="preserve">Backup/recovery</x:t>
        </x:is>
      </x:c>
      <x:c r="C12" s="3" t="inlineStr">
        <x:is>
          <x:t xml:space="preserve">Automated backup and restore rehearsal completed; RPO/RTO approved</x:t>
        </x:is>
      </x:c>
      <x:c r="D12" s="3" t="inlineStr">
        <x:is>
          <x:t xml:space="preserve">Cloud / Data</x:t>
        </x:is>
      </x:c>
      <x:c r="E12" s="3" t="inlineStr">
        <x:is>
          <x:t xml:space="preserve">Not Started</x:t>
        </x:is>
      </x:c>
    </x:row>
    <x:row r="13" ht="42" customHeight="1">
      <x:c r="A13" s="3" t="inlineStr">
        <x:is>
          <x:t xml:space="preserve">G-11</x:t>
        </x:is>
      </x:c>
      <x:c r="B13" s="3" t="inlineStr">
        <x:is>
          <x:t xml:space="preserve">Cutover/rollback</x:t>
        </x:is>
      </x:c>
      <x:c r="C13" s="3" t="inlineStr">
        <x:is>
          <x:t xml:space="preserve">Production deploy, migrations, smoke test and rollback rehearsed</x:t>
        </x:is>
      </x:c>
      <x:c r="D13" s="3" t="inlineStr">
        <x:is>
          <x:t xml:space="preserve">DevOps / Engineering</x:t>
        </x:is>
      </x:c>
      <x:c r="E13" s="3" t="inlineStr">
        <x:is>
          <x:t xml:space="preserve">Not Started</x:t>
        </x:is>
      </x:c>
    </x:row>
    <x:row r="14" ht="42" customHeight="1">
      <x:c r="A14" s="3" t="inlineStr">
        <x:is>
          <x:t xml:space="preserve">G-12</x:t>
        </x:is>
      </x:c>
      <x:c r="B14" s="3" t="inlineStr">
        <x:is>
          <x:t xml:space="preserve">Provider production</x:t>
        </x:is>
      </x:c>
      <x:c r="C14" s="3" t="inlineStr">
        <x:is>
          <x:t xml:space="preserve">Live credentials, callback URLs, webhook secrets and refund capability verified</x:t>
        </x:is>
      </x:c>
      <x:c r="D14" s="3" t="inlineStr">
        <x:is>
          <x:t xml:space="preserve">Backend / Finance Ops</x:t>
        </x:is>
      </x:c>
      <x:c r="E14" s="3" t="inlineStr">
        <x:is>
          <x:t xml:space="preserve">Not Started</x:t>
        </x:is>
      </x:c>
    </x:row>
    <x:row r="15" ht="42" customHeight="1">
      <x:c r="A15" s="3" t="inlineStr">
        <x:is>
          <x:t xml:space="preserve">G-13</x:t>
        </x:is>
      </x:c>
      <x:c r="B15" s="3" t="inlineStr">
        <x:is>
          <x:t xml:space="preserve">Support readiness</x:t>
        </x:is>
      </x:c>
      <x:c r="C15" s="3" t="inlineStr">
        <x:is>
          <x:t xml:space="preserve">Support trained on lookup, fulfilment, inventory correction, refund and incident steps</x:t>
        </x:is>
      </x:c>
      <x:c r="D15" s="3" t="inlineStr">
        <x:is>
          <x:t xml:space="preserve">Operations / Support</x:t>
        </x:is>
      </x:c>
      <x:c r="E15" s="3" t="inlineStr">
        <x:is>
          <x:t xml:space="preserve">Not Started</x:t>
        </x:is>
      </x:c>
    </x:row>
    <x:row r="16" ht="42" customHeight="1">
      <x:c r="A16" s="3" t="inlineStr">
        <x:is>
          <x:t xml:space="preserve">G-14</x:t>
        </x:is>
      </x:c>
      <x:c r="B16" s="3" t="inlineStr">
        <x:is>
          <x:t xml:space="preserve">Go/no-go</x:t>
        </x:is>
      </x:c>
      <x:c r="C16" s="3" t="inlineStr">
        <x:is>
          <x:t xml:space="preserve">Named approvers record decision; launch owner/incident commander assigned</x:t>
        </x:is>
      </x:c>
      <x:c r="D16" s="3" t="inlineStr">
        <x:is>
          <x:t xml:space="preserve">PM / Business Owner</x:t>
        </x:is>
      </x:c>
      <x:c r="E16" s="3" t="inlineStr">
        <x:is>
          <x:t xml:space="preserve">Not Started</x:t>
        </x:is>
      </x:c>
    </x:row>
    <x:row r="17" ht="42" customHeight="1">
      <x:c r="A17" s="3" t="inlineStr">
        <x:is>
          <x:t xml:space="preserve">G-15</x:t>
        </x:is>
      </x:c>
      <x:c r="B17" s="3" t="inlineStr">
        <x:is>
          <x:t xml:space="preserve">Production smoke test</x:t>
        </x:is>
      </x:c>
      <x:c r="C17" s="3" t="inlineStr">
        <x:is>
          <x:t xml:space="preserve">Test order reconciles across payment/order/email/inventory; no critical incident</x:t>
        </x:is>
      </x:c>
      <x:c r="D17" s="3" t="inlineStr">
        <x:is>
          <x:t xml:space="preserve">QA / Finance Ops</x:t>
        </x:is>
      </x:c>
      <x:c r="E17" s="3" t="inlineStr">
        <x:is>
          <x:t xml:space="preserve">Not Started</x:t>
        </x:is>
      </x:c>
    </x:row>
  </x:sheetData>
  <x:mergeCells>
    <x:mergeCell ref="A1:E1"/>
  </x:mergeCells>
  <x:dataValidations count="1">
    <x:dataValidation type="list" allowBlank="0" showDropDown="0" showInputMessage="0" showErrorMessage="0" sqref="E3:E17">
      <x:formula1>"Not Started,In Progress,Blocked,Passed,Failed,Accepted Risk"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30" customWidth="1"/>
    <x:col min="2" max="2" width="110" customWidth="1"/>
  </x:cols>
  <x:sheetData>
    <x:row r="1" ht="30" customHeight="1">
      <x:c r="A1" s="10" t="inlineStr">
        <x:is>
          <x:t xml:space="preserve">HOW TO USE THIS PLAN</x:t>
        </x:is>
      </x:c>
    </x:row>
    <x:row r="2" ht="40" customHeight="1">
      <x:c r="A2" s="12" t="inlineStr">
        <x:is>
          <x:t xml:space="preserve">Artifact purpose</x:t>
        </x:is>
      </x:c>
      <x:c r="B2" s="3" t="inlineStr">
        <x:is>
          <x:t xml:space="preserve">PM-ready starting baseline for roadmap, ticket breakdown and launch control. It is not a guarantee independent of team capacity.</x:t>
        </x:is>
      </x:c>
    </x:row>
    <x:row r="3" ht="40" customHeight="1">
      <x:c r="A3" s="12" t="inlineStr">
        <x:is>
          <x:t xml:space="preserve">Priority P0</x:t>
        </x:is>
      </x:c>
      <x:c r="B3" s="3" t="inlineStr">
        <x:is>
          <x:t xml:space="preserve">Must ship to meet agreed launch scope and safe production operation.</x:t>
        </x:is>
      </x:c>
    </x:row>
    <x:row r="4" ht="40" customHeight="1">
      <x:c r="A4" s="12" t="inlineStr">
        <x:is>
          <x:t xml:space="preserve">Priority P1</x:t>
        </x:is>
      </x:c>
      <x:c r="B4" s="3" t="inlineStr">
        <x:is>
          <x:t xml:space="preserve">Should ship if capacity remains after P0, security and release gates; defer formally if needed.</x:t>
        </x:is>
      </x:c>
    </x:row>
    <x:row r="5" ht="40" customHeight="1">
      <x:c r="A5" s="12" t="inlineStr">
        <x:is>
          <x:t xml:space="preserve">Priority P2</x:t>
        </x:is>
      </x:c>
      <x:c r="B5" s="3" t="inlineStr">
        <x:is>
          <x:t xml:space="preserve">Post-launch / explicitly excluded unless approved via change control.</x:t>
        </x:is>
      </x:c>
    </x:row>
    <x:row r="6" ht="40" customHeight="1">
      <x:c r="A6" s="12" t="inlineStr">
        <x:is>
          <x:t xml:space="preserve">Story points</x:t>
        </x:is>
      </x:c>
      <x:c r="B6" s="3" t="inlineStr">
        <x:is>
          <x:t xml:space="preserve">Initial relative estimates only; re-estimate with the actual team in Sprint 1.</x:t>
        </x:is>
      </x:c>
    </x:row>
    <x:row r="7" ht="40" customHeight="1">
      <x:c r="A7" s="12" t="inlineStr">
        <x:is>
          <x:t xml:space="preserve">Status</x:t>
        </x:is>
      </x:c>
      <x:c r="B7" s="3" t="inlineStr">
        <x:is>
          <x:t xml:space="preserve">Use dropdown in Ticket Backlog; add sub-tasks, assignees and test links in the team's delivery tool.</x:t>
        </x:is>
      </x:c>
    </x:row>
    <x:row r="8" ht="40" customHeight="1">
      <x:c r="A8" s="12" t="inlineStr">
        <x:is>
          <x:t xml:space="preserve">Dates</x:t>
        </x:is>
      </x:c>
      <x:c r="B8" s="3" t="inlineStr">
        <x:is>
          <x:t xml:space="preserve">S1 starts 26 Oct 2026; production launch deadline is 31 Mar 2027. S5 has reduced holiday capacity.</x:t>
        </x:is>
      </x:c>
    </x:row>
    <x:row r="9" ht="40" customHeight="1">
      <x:c r="A9" s="12" t="inlineStr">
        <x:is>
          <x:t xml:space="preserve">Single-store assumption</x:t>
        </x:is>
      </x:c>
      <x:c r="B9" s="3" t="inlineStr">
        <x:is>
          <x:t xml:space="preserve">Seller marketplace, seller payouts, native mobile apps and advanced loyalty are outside launch unless formally added.</x:t>
        </x:is>
      </x:c>
    </x:row>
    <x:row r="10" ht="40" customHeight="1">
      <x:c r="A10" s="12" t="inlineStr">
        <x:is>
          <x:t xml:space="preserve">Architecture note</x:t>
        </x:is>
      </x:c>
      <x:c r="B10" s="3" t="inlineStr">
        <x:is>
          <x:t xml:space="preserve">Clear bounded contexts are required; each context does not automatically need a separate deployable microservice.</x:t>
        </x:is>
      </x:c>
    </x:row>
    <x:row r="11" ht="40" customHeight="1">
      <x:c r="A11" s="12" t="inlineStr">
        <x:is>
          <x:t xml:space="preserve">Use with PRD</x:t>
        </x:is>
      </x:c>
      <x:c r="B11" s="3" t="inlineStr">
        <x:is>
          <x:t xml:space="preserve">Use Ecommerce_Website_PRD.docx / .md for requirements and acceptance conventions; keep sprint ticket rows linked to requirement IDs during refinement.</x:t>
        </x:is>
      </x:c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37" hidden="0" customWidth="1"/>
    <x:col min="3" max="3" width="15" hidden="0" customWidth="1"/>
    <x:col min="4" max="4" width="15" hidden="0" customWidth="1"/>
  </x:cols>
  <x:sheetData>
    <x:row r="1" ht="30" customHeight="1">
      <x:c r="A1" s="28" t="str">
        <x:v>ECOMMERCE WEBSITE — DELIVERY DASHBOARD</x:v>
      </x:c>
      <x:c r="B1" s="28"/>
      <x:c r="C1" s="28"/>
      <x:c r="D1" s="28"/>
      <x:c r="E1" s="28"/>
      <x:c r="F1" s="28"/>
      <x:c r="G1" s="28"/>
      <x:c r="H1" s="28"/>
    </x:row>
    <x:row r="3" ht="24" customHeight="1">
      <x:c r="A3" s="46" t="str">
        <x:v>Metric</x:v>
      </x:c>
      <x:c r="B3" s="46" t="str">
        <x:v>Value</x:v>
      </x:c>
    </x:row>
    <x:row r="4" ht="24" customHeight="1">
      <x:c r="A4" s="47" t="str">
        <x:v>Total ticket candidates</x:v>
      </x:c>
      <x:c r="B4" s="48" t="n">
        <x:f>COUNTA('Ticket Backlog'!A3:A84)</x:f>
        <x:v>82</x:v>
      </x:c>
    </x:row>
    <x:row r="5" ht="24" customHeight="1">
      <x:c r="A5" s="47" t="str">
        <x:v>P0 launch tickets</x:v>
      </x:c>
      <x:c r="B5" s="48" t="n">
        <x:f>COUNTIF('Ticket Backlog'!G3:G84,"P0")</x:f>
        <x:v>75</x:v>
      </x:c>
    </x:row>
    <x:row r="6" ht="24" customHeight="1">
      <x:c r="A6" s="47" t="str">
        <x:v>P1 optional tickets</x:v>
      </x:c>
      <x:c r="B6" s="48" t="n">
        <x:f>COUNTIF('Ticket Backlog'!G3:G84,"P1")</x:f>
        <x:v>7</x:v>
      </x:c>
    </x:row>
    <x:row r="7" ht="24" customHeight="1">
      <x:c r="A7" s="47" t="str">
        <x:v>Sprints incl. launch window</x:v>
      </x:c>
      <x:c r="B7" s="48" t="n">
        <x:f>COUNTA(Roadmap!A4:A15)</x:f>
        <x:v>12</x:v>
      </x:c>
    </x:row>
    <x:row r="10">
      <x:c r="A10" s="46" t="str">
        <x:v>Sprint</x:v>
      </x:c>
      <x:c r="B10" s="46" t="str">
        <x:v>Sprint name</x:v>
      </x:c>
      <x:c r="C10" s="46" t="str">
        <x:v>Ticket count</x:v>
      </x:c>
      <x:c r="D10" s="46" t="str">
        <x:v>Story points</x:v>
      </x:c>
    </x:row>
    <x:row r="11" ht="24" customHeight="1">
      <x:c r="A11" s="55" t="str">
        <x:v>S1</x:v>
      </x:c>
      <x:c r="B11" s="55" t="str">
        <x:v>Discovery &amp; Foundations</x:v>
      </x:c>
      <x:c r="C11" s="55" t="n">
        <x:f>COUNTIF('Ticket Backlog'!$B$3:$B$84,A11)</x:f>
        <x:v>10</x:v>
      </x:c>
      <x:c r="D11" s="55" t="n">
        <x:f>SUMIF('Ticket Backlog'!$B$3:$B$84,A11,'Ticket Backlog'!$I$3:$I$84)</x:f>
        <x:v>39</x:v>
      </x:c>
    </x:row>
    <x:row r="12" ht="24" customHeight="1">
      <x:c r="A12" s="55" t="str">
        <x:v>S2</x:v>
      </x:c>
      <x:c r="B12" s="55" t="str">
        <x:v>Platform Shell &amp; Identity</x:v>
      </x:c>
      <x:c r="C12" s="55" t="n">
        <x:f>COUNTIF('Ticket Backlog'!$B$3:$B$84,A12)</x:f>
        <x:v>9</x:v>
      </x:c>
      <x:c r="D12" s="55" t="n">
        <x:f>SUMIF('Ticket Backlog'!$B$3:$B$84,A12,'Ticket Backlog'!$I$3:$I$84)</x:f>
        <x:v>44</x:v>
      </x:c>
    </x:row>
    <x:row r="13" ht="24" customHeight="1">
      <x:c r="A13" s="55" t="str">
        <x:v>S3</x:v>
      </x:c>
      <x:c r="B13" s="55" t="str">
        <x:v>Catalog &amp; Discovery</x:v>
      </x:c>
      <x:c r="C13" s="55" t="n">
        <x:f>COUNTIF('Ticket Backlog'!$B$3:$B$84,A13)</x:f>
        <x:v>7</x:v>
      </x:c>
      <x:c r="D13" s="55" t="n">
        <x:f>SUMIF('Ticket Backlog'!$B$3:$B$84,A13,'Ticket Backlog'!$I$3:$I$84)</x:f>
        <x:v>39</x:v>
      </x:c>
    </x:row>
    <x:row r="14" ht="24" customHeight="1">
      <x:c r="A14" s="55" t="str">
        <x:v>S4</x:v>
      </x:c>
      <x:c r="B14" s="55" t="str">
        <x:v>Product Detail &amp; Inventory</x:v>
      </x:c>
      <x:c r="C14" s="55" t="n">
        <x:f>COUNTIF('Ticket Backlog'!$B$3:$B$84,A14)</x:f>
        <x:v>6</x:v>
      </x:c>
      <x:c r="D14" s="55" t="n">
        <x:f>SUMIF('Ticket Backlog'!$B$3:$B$84,A14,'Ticket Backlog'!$I$3:$I$84)</x:f>
        <x:v>34</x:v>
      </x:c>
    </x:row>
    <x:row r="15" ht="24" customHeight="1">
      <x:c r="A15" s="55" t="str">
        <x:v>S5</x:v>
      </x:c>
      <x:c r="B15" s="55" t="str">
        <x:v>Cart, Wishlist &amp; Offers</x:v>
      </x:c>
      <x:c r="C15" s="55" t="n">
        <x:f>COUNTIF('Ticket Backlog'!$B$3:$B$84,A15)</x:f>
        <x:v>6</x:v>
      </x:c>
      <x:c r="D15" s="55" t="n">
        <x:f>SUMIF('Ticket Backlog'!$B$3:$B$84,A15,'Ticket Backlog'!$I$3:$I$84)</x:f>
        <x:v>34</x:v>
      </x:c>
    </x:row>
    <x:row r="16" ht="24" customHeight="1">
      <x:c r="A16" s="55" t="str">
        <x:v>S6</x:v>
      </x:c>
      <x:c r="B16" s="55" t="str">
        <x:v>Checkout &amp; Payment Integration</x:v>
      </x:c>
      <x:c r="C16" s="55" t="n">
        <x:f>COUNTIF('Ticket Backlog'!$B$3:$B$84,A16)</x:f>
        <x:v>7</x:v>
      </x:c>
      <x:c r="D16" s="55" t="n">
        <x:f>SUMIF('Ticket Backlog'!$B$3:$B$84,A16,'Ticket Backlog'!$I$3:$I$84)</x:f>
        <x:v>44</x:v>
      </x:c>
    </x:row>
    <x:row r="17" ht="24" customHeight="1">
      <x:c r="A17" s="55" t="str">
        <x:v>S7</x:v>
      </x:c>
      <x:c r="B17" s="55" t="str">
        <x:v>Orders &amp; Payment Reconciliation</x:v>
      </x:c>
      <x:c r="C17" s="55" t="n">
        <x:f>COUNTIF('Ticket Backlog'!$B$3:$B$84,A17)</x:f>
        <x:v>6</x:v>
      </x:c>
      <x:c r="D17" s="55" t="n">
        <x:f>SUMIF('Ticket Backlog'!$B$3:$B$84,A17,'Ticket Backlog'!$I$3:$I$84)</x:f>
        <x:v>39</x:v>
      </x:c>
    </x:row>
    <x:row r="18" ht="24" customHeight="1">
      <x:c r="A18" s="55" t="str">
        <x:v>S8</x:v>
      </x:c>
      <x:c r="B18" s="55" t="str">
        <x:v>Admin &amp; Operations</x:v>
      </x:c>
      <x:c r="C18" s="55" t="n">
        <x:f>COUNTIF('Ticket Backlog'!$B$3:$B$84,A18)</x:f>
        <x:v>7</x:v>
      </x:c>
      <x:c r="D18" s="55" t="n">
        <x:f>SUMIF('Ticket Backlog'!$B$3:$B$84,A18,'Ticket Backlog'!$I$3:$I$84)</x:f>
        <x:v>41</x:v>
      </x:c>
    </x:row>
    <x:row r="19" ht="24" customHeight="1">
      <x:c r="A19" s="55" t="str">
        <x:v>S9</x:v>
      </x:c>
      <x:c r="B19" s="55" t="str">
        <x:v>Retention, Reviews &amp; Self-Service</x:v>
      </x:c>
      <x:c r="C19" s="55" t="n">
        <x:f>COUNTIF('Ticket Backlog'!$B$3:$B$84,A19)</x:f>
        <x:v>7</x:v>
      </x:c>
      <x:c r="D19" s="55" t="n">
        <x:f>SUMIF('Ticket Backlog'!$B$3:$B$84,A19,'Ticket Backlog'!$I$3:$I$84)</x:f>
        <x:v>45</x:v>
      </x:c>
    </x:row>
    <x:row r="20" ht="24" customHeight="1">
      <x:c r="A20" s="55" t="str">
        <x:v>S10</x:v>
      </x:c>
      <x:c r="B20" s="55" t="str">
        <x:v>System Hardening &amp; Release Candidate</x:v>
      </x:c>
      <x:c r="C20" s="55" t="n">
        <x:f>COUNTIF('Ticket Backlog'!$B$3:$B$84,A20)</x:f>
        <x:v>8</x:v>
      </x:c>
      <x:c r="D20" s="55" t="n">
        <x:f>SUMIF('Ticket Backlog'!$B$3:$B$84,A20,'Ticket Backlog'!$I$3:$I$84)</x:f>
        <x:v>55</x:v>
      </x:c>
    </x:row>
    <x:row r="21" ht="24" customHeight="1">
      <x:c r="A21" s="55" t="str">
        <x:v>S11</x:v>
      </x:c>
      <x:c r="B21" s="55" t="str">
        <x:v>UAT, Cutover &amp; Launch Readiness</x:v>
      </x:c>
      <x:c r="C21" s="55" t="n">
        <x:f>COUNTIF('Ticket Backlog'!$B$3:$B$84,A21)</x:f>
        <x:v>6</x:v>
      </x:c>
      <x:c r="D21" s="55" t="n">
        <x:f>SUMIF('Ticket Backlog'!$B$3:$B$84,A21,'Ticket Backlog'!$I$3:$I$84)</x:f>
        <x:v>31</x:v>
      </x:c>
    </x:row>
    <x:row r="22" ht="24" customHeight="1">
      <x:c r="A22" s="55" t="str">
        <x:v>R</x:v>
      </x:c>
      <x:c r="B22" s="55" t="str">
        <x:v>Production Launch Window</x:v>
      </x:c>
      <x:c r="C22" s="55" t="n">
        <x:f>COUNTIF('Ticket Backlog'!$B$3:$B$84,A22)</x:f>
        <x:v>3</x:v>
      </x:c>
      <x:c r="D22" s="55" t="n">
        <x:f>SUMIF('Ticket Backlog'!$B$3:$B$84,A22,'Ticket Backlog'!$I$3:$I$84)</x:f>
        <x:v>13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cced0f591d54267"/>
</x:worksheet>
</file>